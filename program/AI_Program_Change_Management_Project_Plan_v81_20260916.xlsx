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ACEA26ED-18CB-4451-A6B8-050ABFACFB8D}" xr6:coauthVersionLast="47" xr6:coauthVersionMax="47" xr10:uidLastSave="{00000000-0000-0000-0000-000000000000}"/>
  <bookViews>
    <workbookView xWindow="0" yWindow="0" windowWidth="16384" windowHeight="8192" tabRatio="500" firstSheet="3" activeTab="3" xr2:uid="{00000000-000D-0000-FFFF-FFFF00000000}"/>
  </bookViews>
  <sheets>
    <sheet name="Program Summary" sheetId="1" r:id="rId1"/>
    <sheet name="Training Capacity Plan" sheetId="2" r:id="rId2"/>
    <sheet name="Project Team" sheetId="3" r:id="rId3"/>
    <sheet name="Project Plan" sheetId="4" r:id="rId4"/>
    <sheet name="Key Dates &amp; Milestones" sheetId="5" r:id="rId5"/>
    <sheet name="Risks &amp; Open Decisions" sheetId="6" r:id="rId6"/>
    <sheet name="Success Metrics" sheetId="7" r:id="rId7"/>
    <sheet name="HR Chatbot Comms Calendar" sheetId="8" r:id="rId8"/>
  </sheets>
  <definedNames>
    <definedName name="_xlnm.Print_Area" localSheetId="7">'HR Chatbot Comms Calendar'!$A$1:$F$53</definedName>
    <definedName name="_xlnm.Print_Area" localSheetId="4">'Key Dates &amp; Milestones'!$A$1:$C$23</definedName>
    <definedName name="_xlnm.Print_Area" localSheetId="0">'Program Summary'!$A$1:$F$19</definedName>
    <definedName name="_xlnm.Print_Area" localSheetId="3">'Project Plan'!$A$1:$J$165</definedName>
    <definedName name="_xlnm.Print_Area" localSheetId="2">'Project Team'!$A$1:$C$22</definedName>
    <definedName name="_xlnm.Print_Area" localSheetId="5">'Risks &amp; Open Decisions'!$A$1:$E$37</definedName>
    <definedName name="_xlnm.Print_Area" localSheetId="6">'Success Metrics'!$A$1:$E$10</definedName>
    <definedName name="_xlnm.Print_Area" localSheetId="1">'Training Capacity Plan'!$A$1:$G$18</definedName>
    <definedName name="_xlnm.Print_Titles" localSheetId="7">'HR Chatbot Comms Calendar'!$1:$1</definedName>
    <definedName name="_xlnm.Print_Titles" localSheetId="4">'Key Dates &amp; Milestones'!$1:$1</definedName>
    <definedName name="_xlnm.Print_Titles" localSheetId="3">'Project Plan'!$1:$1</definedName>
    <definedName name="_xlnm.Print_Titles" localSheetId="2">'Project Team'!$1:$1</definedName>
    <definedName name="_xlnm.Print_Titles" localSheetId="5">'Risks &amp; Open Decisions'!$2:$2</definedName>
    <definedName name="_xlnm.Print_Titles" localSheetId="6">'Success Metrics'!$1:$1</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0" i="2" l="1"/>
  <c r="B16" i="2" s="1"/>
  <c r="B17" i="2" s="1"/>
  <c r="B18" i="2" s="1"/>
  <c r="C6" i="2"/>
  <c r="C11" i="2" s="1"/>
  <c r="F11" i="2" s="1"/>
  <c r="G11" i="2" s="1"/>
  <c r="B6" i="2"/>
  <c r="C10" i="2" s="1"/>
  <c r="D5" i="2"/>
  <c r="D4" i="2"/>
  <c r="D3" i="2"/>
  <c r="D6" i="2" s="1"/>
  <c r="F19" i="1"/>
  <c r="E19" i="1"/>
  <c r="D19" i="1"/>
  <c r="C19" i="1"/>
  <c r="B19" i="1"/>
  <c r="F18" i="1"/>
  <c r="E18" i="1"/>
  <c r="D18" i="1"/>
  <c r="C18" i="1"/>
  <c r="B18"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5" i="1"/>
  <c r="E5" i="1"/>
  <c r="D5" i="1"/>
  <c r="C5" i="1"/>
  <c r="B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J1" authorId="0" shapeId="0" xr:uid="{00000000-0006-0000-0300-000001000000}">
      <text>
        <r>
          <rPr>
            <sz val="10"/>
            <rFont val="Arial"/>
            <family val="2"/>
          </rPr>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r>
      </text>
    </comment>
  </commentList>
</comments>
</file>

<file path=xl/sharedStrings.xml><?xml version="1.0" encoding="utf-8"?>
<sst xmlns="http://schemas.openxmlformats.org/spreadsheetml/2006/main" count="1848" uniqueCount="986">
  <si>
    <t>AI Program Change Management - Overall Progress</t>
  </si>
  <si>
    <t>Percent complete is the average of the % Complete column on the Project Plan tab. Figures update automatically as that tab is maintained.</t>
  </si>
  <si>
    <t>Scope</t>
  </si>
  <si>
    <t>Tasks</t>
  </si>
  <si>
    <t>% Complete</t>
  </si>
  <si>
    <t>Complete</t>
  </si>
  <si>
    <t>In Progress</t>
  </si>
  <si>
    <t>Not Started / Deferred</t>
  </si>
  <si>
    <t>Entire program</t>
  </si>
  <si>
    <t>By track and phase</t>
  </si>
  <si>
    <t>Copilot Basic | Phase 0 - Readiness (through 9/11)</t>
  </si>
  <si>
    <t>Copilot Basic | Phase 1 - Rolling Training Delivery (9/21/26 onward; see Training Capacity Plan tab)</t>
  </si>
  <si>
    <t>Copilot Basic | Phase 2 - Monitoring &amp; Continuous Improvement (ongoing)</t>
  </si>
  <si>
    <t>HR Chatbot | Readiness &amp; Provisioning (through 10/2)</t>
  </si>
  <si>
    <t>HR Chatbot | Three-Phase Testing (10/5-11/20)</t>
  </si>
  <si>
    <t>HR Chatbot | ESC Approval &amp; Pilot (11/30 onward)</t>
  </si>
  <si>
    <t>By track</t>
  </si>
  <si>
    <t>Copilot Basic</t>
  </si>
  <si>
    <t>HR Chatbot</t>
  </si>
  <si>
    <t>License Breakdown</t>
  </si>
  <si>
    <t>Department</t>
  </si>
  <si>
    <t>E5 Licenses Assigned (laptop)</t>
  </si>
  <si>
    <t>F3 Licenses Assigned (field, no laptop)</t>
  </si>
  <si>
    <t>Total</t>
  </si>
  <si>
    <t>General Fund (GF)</t>
  </si>
  <si>
    <t>Utilities (DPU)</t>
  </si>
  <si>
    <t>Airports (DPC)</t>
  </si>
  <si>
    <t>E5 = standard laptop-equipped users. F3 = field/frontline users with tool access but no assigned laptop - delivery format (in-person kiosk/shared device, mobile-friendly session, or alternate scheduling) needs to account for this group separately from a standard classroom/virtual session.</t>
  </si>
  <si>
    <t>Delivery Track Assumptions</t>
  </si>
  <si>
    <t>Track</t>
  </si>
  <si>
    <t>Format</t>
  </si>
  <si>
    <t>Employees</t>
  </si>
  <si>
    <t>Capacity per Session</t>
  </si>
  <si>
    <t>Cadence (sessions/week)</t>
  </si>
  <si>
    <t>Sessions Needed</t>
  </si>
  <si>
    <t>Weeks Needed</t>
  </si>
  <si>
    <t>E5 (Laptop)</t>
  </si>
  <si>
    <t>Virtual</t>
  </si>
  <si>
    <t>No limit (Microsoft)</t>
  </si>
  <si>
    <t>F3 (Field) - Out of Scope (Phase 1)</t>
  </si>
  <si>
    <t>In-Person (Room)</t>
  </si>
  <si>
    <t>This phase focuses on E5 (laptop-equipped) employees only - F3 (field, no-laptop) employees are out of scope for now and will be addressed in a later phase. Microsoft places no attendance limit on virtual Teams sessions, so E5 capacity is not a constraint; the six sessions are a scheduling decision that repeats the same curriculum for coverage, not a capacity calculation. No registration is required - attendance is captured from the Microsoft Teams attendance report at join. F3 row retained below for reference only and is excluded from the Weeks Needed calculation.</t>
  </si>
  <si>
    <t>Shaded cells are entered values. Unshaded bold cells are calculated.</t>
  </si>
  <si>
    <t>Assumption</t>
  </si>
  <si>
    <t>Value</t>
  </si>
  <si>
    <t>Notes</t>
  </si>
  <si>
    <t>Rollout start date (first live session)</t>
  </si>
  <si>
    <t>First live session of the six-session Microsoft curriculum, following the 10/28/26 citywide launch and the 10/30 launch communication. 11/2-11/6 is a deliberate self-guided familiarization week ahead of instruction.</t>
  </si>
  <si>
    <t>Weeks needed (E5 only)</t>
  </si>
  <si>
    <t>E5 (laptop) track only. Six sessions delivered at three per week over two weeks (11/9-11/20), compressed to wrap ahead of Thanksgiving per Renee Raffalli's direction. F3 (field) is out of scope for this phase.</t>
  </si>
  <si>
    <t>Estimated rollout end date</t>
  </si>
  <si>
    <t>Start date plus (weeks needed x 7 days). Calculated end 11/22/26; the scheduled final session is Friday 11/20/26.</t>
  </si>
  <si>
    <t>Estimated duration (months)</t>
  </si>
  <si>
    <t>Compressed two-week delivery replaces the earlier multi-month assumption, per the Rollout Plan v1.9 schedule approved for ESC presentation.</t>
  </si>
  <si>
    <t>Resource</t>
  </si>
  <si>
    <t>Team</t>
  </si>
  <si>
    <t>Area</t>
  </si>
  <si>
    <t>Atri Manthani</t>
  </si>
  <si>
    <t>AI</t>
  </si>
  <si>
    <t>Technical Development, Strategy, Monitoring &amp; Continuous Improvement</t>
  </si>
  <si>
    <t>Brad Beran (Microsoft)</t>
  </si>
  <si>
    <t>Microsoft</t>
  </si>
  <si>
    <t>Copilot Basic training workshops and session scheduling</t>
  </si>
  <si>
    <t>Brian Umerley</t>
  </si>
  <si>
    <t>Innovations &amp; Process Improvement</t>
  </si>
  <si>
    <t>Backup to Tawanna for attendance coordination and the access and training tracker; training session support. Capacity not yet confirmed, so no line is solely dependent on him.</t>
  </si>
  <si>
    <t>Chief Crowe</t>
  </si>
  <si>
    <t>Chief, ITS</t>
  </si>
  <si>
    <t>Stakeholder</t>
  </si>
  <si>
    <t>Commissioner Larry Jones</t>
  </si>
  <si>
    <t>Commissioner, ITS</t>
  </si>
  <si>
    <t>Cora Harmon</t>
  </si>
  <si>
    <t>Communication Roadmap Template</t>
  </si>
  <si>
    <t>Daisha Olmeda</t>
  </si>
  <si>
    <t>Provide Resources from Innovations &amp; Process Improvement Team</t>
  </si>
  <si>
    <t>DC Faranak Arab</t>
  </si>
  <si>
    <t>ITS - O365 Global Administration</t>
  </si>
  <si>
    <t>Tenant configuration, license assignment and reclamation by authorized phase</t>
  </si>
  <si>
    <t>DC Jesse Frye</t>
  </si>
  <si>
    <t>ITS</t>
  </si>
  <si>
    <t>Source for the master user list across General Fund, Utilities (DPU) and Airports (DPC)</t>
  </si>
  <si>
    <t>Doug Meil</t>
  </si>
  <si>
    <t>Data Engineering</t>
  </si>
  <si>
    <t>Leading the AI Policies creation, documentation, approvals</t>
  </si>
  <si>
    <t>Dustin Hargis</t>
  </si>
  <si>
    <t>Human Resources</t>
  </si>
  <si>
    <t>HR business lead; Phase 2 tester and Phase 3 Generalist roster owner</t>
  </si>
  <si>
    <t>Eli Mentzer (Microsoft)</t>
  </si>
  <si>
    <t>Microsoft account contact; chatbot security group, licensing and reporting walkthrough</t>
  </si>
  <si>
    <t>Marie Zickefoose</t>
  </si>
  <si>
    <t>Media Relations</t>
  </si>
  <si>
    <t>External press release and approved media lines for the Copilot Basic launch</t>
  </si>
  <si>
    <t>Meg Stoneburner</t>
  </si>
  <si>
    <t>Innovation, Intern</t>
  </si>
  <si>
    <t>Assisting Vikki with the Hub Page</t>
  </si>
  <si>
    <t>Mike Ruscin</t>
  </si>
  <si>
    <t>ITS - Endpoint Management</t>
  </si>
  <si>
    <t>Intune packaging and managed-device deployment of Copilot Basic</t>
  </si>
  <si>
    <t>Rajan Sharma / Peter Rodenberg</t>
  </si>
  <si>
    <t>CyberSecurity</t>
  </si>
  <si>
    <t>Security group governance, access review, Purview scoping for production</t>
  </si>
  <si>
    <t>Renee Raffalli</t>
  </si>
  <si>
    <t>Director, Urban Analytics and Innovation</t>
  </si>
  <si>
    <t>Cabinet communications; approval of all citywide messaging</t>
  </si>
  <si>
    <t>Tawanna Armstrong-Ivory</t>
  </si>
  <si>
    <t>Program Management, Strategy</t>
  </si>
  <si>
    <t>Vikki Pickett</t>
  </si>
  <si>
    <t>Innovation &amp; Technology</t>
  </si>
  <si>
    <t>Hub and AppSpace Design</t>
  </si>
  <si>
    <t>TBD</t>
  </si>
  <si>
    <t>Data Analytics</t>
  </si>
  <si>
    <t>Build the dashboards to support the AI Rollout</t>
  </si>
  <si>
    <t>Build the workflows for data monitoring</t>
  </si>
  <si>
    <t>#</t>
  </si>
  <si>
    <t>Phase</t>
  </si>
  <si>
    <t>Type</t>
  </si>
  <si>
    <t>Task / Deliverable</t>
  </si>
  <si>
    <t>Owner</t>
  </si>
  <si>
    <t>Due Date</t>
  </si>
  <si>
    <t>Status</t>
  </si>
  <si>
    <t>Notes / Details</t>
  </si>
  <si>
    <t>Comms Phase</t>
  </si>
  <si>
    <t>Note</t>
  </si>
  <si>
    <t>Note: current monitoring tooling scope is G5-license dependent (other tiers TBD)</t>
  </si>
  <si>
    <t>AI CoE</t>
  </si>
  <si>
    <t>The monitoring and governance tooling outlined in this plan currently applies to Microsoft 365 G5-licensed users. Extending equivalent coverage to other license tiers will be evaluated and defined (TBD) as licensing scope and platform capabilities evolve.</t>
  </si>
  <si>
    <t>n/a - not a comms task</t>
  </si>
  <si>
    <t>Task</t>
  </si>
  <si>
    <t>Design training curriculum</t>
  </si>
  <si>
    <t>Atri Manthani, AI CoE</t>
  </si>
  <si>
    <t>Sent to Renee Raffalli and Doug</t>
  </si>
  <si>
    <t>Note: all employees already have Copilot access via Entra ID</t>
  </si>
  <si>
    <t>AI CoE, ITS</t>
  </si>
  <si>
    <t>Access is provisioned; employees do not yet have the Copilot Basic link and web grounding is currently off - see Turn on web grounding and Launch Date tasks</t>
  </si>
  <si>
    <t>Milestone</t>
  </si>
  <si>
    <t>Analytics &amp; dashboard readiness gate</t>
  </si>
  <si>
    <t>Tawanna Armstrong-Ivory, Atri Manthani, Innovations Team (Daisha)</t>
  </si>
  <si>
    <t>Analytics Monitoring Plan, Communications Plan, locked metrics, and Dashboard access all due</t>
  </si>
  <si>
    <t>Turn on web grounding</t>
  </si>
  <si>
    <t>DC Faranak</t>
  </si>
  <si>
    <t>Provide the communication plan and dates to DC Faranak so that web grounding can be enabled within the tenant. Call scheduled with DC Faranak for 8/31 to discuss enabling web grounding for the Copilot Basic launch; 8/31 met with DC Faranak and she will work to enable; 9/2 tested with some users in IT and UAI and getting the message that web grounding isn't enabled; sent email reminder to DC Faranak; 9/8 sent email reminder; 9/15 - Web grounding was enabled today with DC Faranak and Microsoft (call).</t>
  </si>
  <si>
    <t>Plan for Analytics Monitoring Plan DRAFT</t>
  </si>
  <si>
    <t>Draft due 8/24 per Summary Timeline; Atri sent on 8/21, Tawanna added the monitoring docs to the Monitoring folder. Covers: where analytics come from, who is responsible for monitoring, what is being monitored, which analytics are shared out, and how often analytics are shared</t>
  </si>
  <si>
    <t>Plan for Communications Plan DRAFT</t>
  </si>
  <si>
    <t>Tawanna Armstrong-Ivory, Atri Manthani, Innovations Team (Daisha and Cora)</t>
  </si>
  <si>
    <t>Draft due 8/24 per Summary Timeline; Tawanna sent email to Renee Raffalli on 8/21; Cora provided the Copilot Basic Communication Roadmap to the Communications Folder</t>
  </si>
  <si>
    <t>1 - Awareness</t>
  </si>
  <si>
    <t>Plan for Building Hub resource page</t>
  </si>
  <si>
    <t>Tawanna Armstrong-Ivory, Innovations Team (Meg/Vikki)</t>
  </si>
  <si>
    <t>Persistent single source of truth: FAQs, links, status, Office Hours/Champion Channel links; in progress (info gathering) - provided basic Copilot info, working to get additional materials. Received AI Hub link (Hub Resource Page) from DC Faranak on 8/25; looped in Vikki/Megan. 8/25 Atri provided content for the hub to Megan.</t>
  </si>
  <si>
    <t>Prepare Cabinet presentation</t>
  </si>
  <si>
    <t>Tawanna Armstrong-Ivory, Innovations Team (Daisha, Vikki), Renee Raffalli</t>
  </si>
  <si>
    <t>Covers why now, governance alignment (NIST AI RMF), and the revised multi-month session schedule; work with Innovations team on content</t>
  </si>
  <si>
    <t>Prepare Chiefs &amp; Directors email</t>
  </si>
  <si>
    <t>Tawanna Armstrong-Ivory, Innovations Team (Daisha), Renee Raffalli</t>
  </si>
  <si>
    <t>One-time at launch; summarizes scope and the rolling session schedule; re-referenced at each milestone; work with Innovations team on content</t>
  </si>
  <si>
    <t>Prepare comms email blast template (ahead of each session)</t>
  </si>
  <si>
    <t>Tawanna Armstrong-Ivory, Innovations Team (Daisha), Renee Raffalli, Brian Umerley</t>
  </si>
  <si>
    <t>Includes registration link and seats-remaining status; reused ahead of every scheduled session. Template must carry the pre-training pulse survey link and the standing note that the post-session survey is issued at session close. Brian Umerley sends the invitation ahead of each session using this approved template.</t>
  </si>
  <si>
    <t>3 - Readiness</t>
  </si>
  <si>
    <t>Prepare AppSpace digital-signage graphic</t>
  </si>
  <si>
    <t>Tawanna Armstrong-Ivory, Innovations Team (Vikki)</t>
  </si>
  <si>
    <t>In progress (info gathering) - provided basic Copilot info, working to get additional materials</t>
  </si>
  <si>
    <t>Lock adoption success metrics and thresholds</t>
  </si>
  <si>
    <t>Atri Manthani, Innovations Team (Daisha), Renee Raffalli</t>
  </si>
  <si>
    <t>Must be locked before 9/11 ESC presentation; no shifting definitions afterward; Outlining adoption tracking and details as a part of the communication plan</t>
  </si>
  <si>
    <t>Configure Copilot Dashboard (Viva Insights) access - Strategic tier</t>
  </si>
  <si>
    <t>Tawanna Armstrong-Ivory, Atri Manthani, DC Faranak, Microsoft</t>
  </si>
  <si>
    <t>CRITICAL PATH - without this, usage and adoption reporting for Copilot Basic does not exist and the adoption metrics committed to ESC cannot be produced. Current direction: working with Microsoft on a direct O365 reporting connection as the preferred route, in place of licensing 50 users to activate reporting in the Admin Center. Requires the AI Administrator role to enable and delegate access to reporting stakeholders. Confirm with Microsoft and DC Faranak that the O365 connection can produce the specific measures behind the locked ESC metrics before 9/11.</t>
  </si>
  <si>
    <t>Set up Operational tier reporting (M365 Admin Center)</t>
  </si>
  <si>
    <t>Tawanna Armstrong-Ivory, Atri Manthani, M365 Admin (DC Faranak), Microsoft</t>
  </si>
  <si>
    <t xml:space="preserve">Readiness &amp; Usage reports: license eligibility, active/enabled users, retention, engagement; Copilot Chat usage dashboard (DAU, total prompts, prompts/user); 8/25 worked with Microsoft - DC Faranak will have to provision us access within the tenant. Atri has provided a side by side of what is available between the two reporting options, which will have to be presented to leadership. Also Brad (Microsoft) is looking into the capabilities for either reporting, using API connectors; we have it in the plan to work witih data engineering team to build a workflow pipeline for the data and data analytics team to build reporting. 9/8 - we have a meeting scheduled for Thursday with Microsoft to allow the data engineerin team to connect to O365 Admin with API connector. </t>
  </si>
  <si>
    <t>Secure API connector resource to connect to O365 for Copilot Basic reporting</t>
  </si>
  <si>
    <t>Tawanna Armstrong-Ivory, Eli Mentzer (Microsoft)</t>
  </si>
  <si>
    <t>Working with Eli Mentzer to obtain the resource needed to build the API connection to O365 so Copilot Basic usage and adoption reporting can be produced. Required to be in place ahead of the soft launch. Note: the soft launch communication milestone currently reads 10/15/26 in this plan; confirm whether the target is 10/06/26 and re-date the dependent lines if so. Relates to the Strategic tier (Viva Insights) and Operational tier (M365 Admin Center) reporting lines above, and to the open decision on the Copilot Basic reporting access route. Follow-up sent to Eli Mentzer 9/14/26: Microsoft is still working on securing the resource; no assignment or start date yet. Watch against the 10/02/26 need-by date.</t>
  </si>
  <si>
    <t>Copilot Basic enabled for the organization (tenant-wide)</t>
  </si>
  <si>
    <t>Confirmed by DC Faranak. Copilot Basic is now enabled organization-wide; confirm the exact enablement date for the record.</t>
  </si>
  <si>
    <t>Add Copilot Basic to Intune for managed device deployment</t>
  </si>
  <si>
    <t>Request sent to Mike Ruscin by email 9/14/26. Packages Copilot Basic for deployment through Intune to managed devices. Target 10/28 rollout. Updated 9/15/26: deployment is scheduled to roll out 10/28/26, aligned to the citywide launch date, rather than 9/18. Confirm with Mike Ruscin that the Intune package is staged and tested ahead of 10/28 so the rollout is a release rather than a build.</t>
  </si>
  <si>
    <t>Training plan &amp; sign-up process finalized gate</t>
  </si>
  <si>
    <t>Roll Out Plan and sign-up/registration approach both due; not going to register users but provide the link and track those who attend the training sessions.</t>
  </si>
  <si>
    <t>Finalize &amp; submit Roll Out Plan sized to ~5,606 E5 employees</t>
  </si>
  <si>
    <t>Tawanna Armstrong-Ivory, Renee Raffalli</t>
  </si>
  <si>
    <t>This phase focuses on E5 (laptop) employees only; F3 (field, ~1,801) is out of scope for now. Open-enrollment format across a rolling multi-session schedule (see Training Capacity Plan tab); confirm actual platform capacity and facilitator availability. Timeline update: original target was all staff with access and training offered by 10/31/26 - access (link/getting-started) is on track for the 10/31 launch, but live training now runs 11/9-12/6 under the post-launch curriculum; utilizes Microsoft Teams under the Unified Contract for delivery</t>
  </si>
  <si>
    <t>Design delivery approach for F3 (field, no-laptop) employees separately from E5 (laptop) employees</t>
  </si>
  <si>
    <t>Deferred</t>
  </si>
  <si>
    <t>1,801 F3 licenses across GF/DPU/DPC (per license breakdown on Training Capacity Plan tab); out of scope for this phase, which focuses on E5 only - revisit in a later phase The BizLibrary recording may also serve the F3 track when it is picked back up.</t>
  </si>
  <si>
    <t>Finalize sign-up/attendance method for E5 virtual sessions</t>
  </si>
  <si>
    <t>Tawanna Armstrong-Ivory, Atri Manthani, Innovations Team (Daisha, Brian Umerley)</t>
  </si>
  <si>
    <t>Microsoft places no attendance cap on E5 virtual sessions - decide whether to still require registration or rely on Microsoft's post-session attendee export instead (see Open Decisions). F3 registration/waitlist approach deferred with the F3 track. We will send out the link with our comms plan, so registration will not be needed. We will track those user who have participated in training for adoption purposes.; 9/8 - per Renee Rafalli, Brian Umerley will take the lead on sending out the invites and tracking participants.. Format confirmed as Webinar in Teams, selected for capacity; employees are not required to register.</t>
  </si>
  <si>
    <t>Reinforcement infrastructure in place gate</t>
  </si>
  <si>
    <t>Surveys, compliance monitoring, and reinforcement activities all due</t>
  </si>
  <si>
    <t>Design pre-training pulse survey</t>
  </si>
  <si>
    <t>Tawanna Armstrong-Ivory, Atri Manthani, Innovations Team (Daisha, Vikki)</t>
  </si>
  <si>
    <t>Microsoft Forms/Viva; baseline AI familiarity, current public/shadow AI tool use, confidence level; 8/27 - Created and ready for review. v1.4 anonymous instrument, 11 questions: session date, baseline familiarity, prior Copilot surface use, current AI tool frequency, top weekly tasks, task to hand off, prompt-writing confidence (1-5), biggest concern, awareness of acceptable-use guidance, success criteria, preferred learning format. Surface list limited to in-scope apps only - Word, Excel and PowerPoint (app or web) plus Copilot Chat; Outlook and Teams removed since Copilot Basic does not surface there. Q2, Q3, Q7 and Q9 are repeated verbatim on the post and 90-day instruments and must not be reworded.</t>
  </si>
  <si>
    <t>Design post-training pulse survey</t>
  </si>
  <si>
    <t>Microsoft Forms/Viva; confidence change, perceived usefulness, intent-to-use, biggest-blocker question; 8/27 - Created and ready for review. v1.4 anonymous instrument, 12 questions. Q2-Q4 repeat pre-training Q7, Q2 and Q9 verbatim for aggregate lift; remainder covers session quality, pace, most useful segment, planned use case, 5-day intent-to-use, remaining blocker, follow-up topics, and NPS. Q9 and Q10 are repeated on the 30-day mini-pulse.</t>
  </si>
  <si>
    <t>Schedule 90-day follow-up survey</t>
  </si>
  <si>
    <t>Tawanna Armstrong-Ivory, Innovations Team (Daisha, Vikki)</t>
  </si>
  <si>
    <t>Tied to the Great Copilot Journey cadence; realized usage vs. intended usage; 8/27 - Created and ready for review. v1.4 anonymous instrument, 12 questions measuring actual behavior rather than intent: 30-day usage frequency, surfaces actually used, repeated confidence item, time saved per week, work-quality change, drop-off diagnosis, unclear-permission incidents, peer teaching, biggest unlock, and demand for an intermediate session. Surface list matches the pre-training instrument (in-scope apps only). Fields 90 days after the final session (target 2/18/27); interim 30-day mini-pulse tracked separately under Phase 2.</t>
  </si>
  <si>
    <t>Confirm eDiscovery access restricted to Legal/Compliance</t>
  </si>
  <si>
    <t>Security (Rajan Sharma and Peter Rodenberg)/Legal/Compliance</t>
  </si>
  <si>
    <t>Content-level (actual prompt/response text) review reserved for legal holds and formal investigations only - not a standing dashboard</t>
  </si>
  <si>
    <t>Schedule reinforcement activities (Prompt-a-thon, Great Copilot Journey)</t>
  </si>
  <si>
    <t>Tawanna Armstrong-Ivory, Atri Manthani, Microsoft</t>
  </si>
  <si>
    <t xml:space="preserve">Need to confirm workshop dates with Microsoft (Brad Beran); 9/10 we confirmed the dates and provided those to Brian and ESC.  Brian is working to add those to the calendar via Teams Webinar. </t>
  </si>
  <si>
    <t>5 - Sustainment</t>
  </si>
  <si>
    <t>Confirm HIPAA BAA and CJIS Security Addendum status</t>
  </si>
  <si>
    <t>Tawanna Armstrong-Ivory, IT Security (Rajan Sharma, Peter Rodenberg)</t>
  </si>
  <si>
    <t>Hard gate - required before any regulated-data content is included.; 9/8 - sent email to Rajan to determine if this is needed; 9/10 - confirmed this is not needed.  The data doesn't leave the tenant nor become public. 9/14 -Met with Peter and Rajan, confirmed we are good to go. Peter will be adding overarching policies, but that shouldn't impact what we currently have enabled.</t>
  </si>
  <si>
    <t>Draft Leadership Announcement message (why now, strategic vision)</t>
  </si>
  <si>
    <t>Tawanna Armstrong-Ivory, Atri Manthani, Renee Raffalli; Innovations Team (Vikki)</t>
  </si>
  <si>
    <t>Per Comms Roadmap Phase 1 - Awareness; high-level message from executive leadership introducing the change</t>
  </si>
  <si>
    <t>Publish High-Level Overview Document and initial FAQ sheet - Infor for Hub</t>
  </si>
  <si>
    <t>Tawanna Armstrong-Ivory, Atri Manthani, Innovations Team (Vikki Pickett and Meg)</t>
  </si>
  <si>
    <t>Per Comms Roadmap Phase 1 - Awareness; one-page 'What is Copilot' overview plus FAQ focused on high-level concerns</t>
  </si>
  <si>
    <t>Produce awareness/countdown signage (digital and physical)</t>
  </si>
  <si>
    <t>Innovations Team (Vikki Pickett)</t>
  </si>
  <si>
    <t>Per Comms Roadmap Phase 1 - Awareness; highlights countdown to launch date</t>
  </si>
  <si>
    <t>Build Process Guide (terminology, definitions, interface navigation)</t>
  </si>
  <si>
    <t>Tawanna Armstrong-Ivory, Atri Manthani, Innovations Team (Vikki Pickett)</t>
  </si>
  <si>
    <t>Per Comms Roadmap Phase 2 - Understanding; visual breakdown of key terms and navigation</t>
  </si>
  <si>
    <t>2 - Understanding</t>
  </si>
  <si>
    <t>Build FAQ and Common Concerns asset addressing resistance points/rumors</t>
  </si>
  <si>
    <t>Per Comms Roadmap Phase 2 - Understanding; tackles common resistance points, rumors, or fears; 9/8 - Atri to send to Vikki</t>
  </si>
  <si>
    <t>Publish Microsoft virtual training schedule and sign-up instructions</t>
  </si>
  <si>
    <t>Tawanna Armstrong-Ivory, Atri Manthani, Microsoft (Brad Berans)</t>
  </si>
  <si>
    <t>Per Comms Roadmap Phase 2 - Understanding; calendar of live Microsoft-hosted sessions</t>
  </si>
  <si>
    <t>Publish Access Instructions (login/security steps, written and video)</t>
  </si>
  <si>
    <t>AI CoE, ITS (DC Faranak or DC Frye)</t>
  </si>
  <si>
    <t xml:space="preserve">Per Comms Roadmap Phase 3 - Readiness; A communication will go out to those for the soft launch and the actual launch with users on how to access CoPilot Basic, along with a link to the Hub with additional trainings and upcoming training workshops. </t>
  </si>
  <si>
    <t>Publish Support Contacts directory (technical bugs vs. process questions)</t>
  </si>
  <si>
    <t>AI CoE, Atri Manthani, Innovations Team (Vikki Pickett and Meg)</t>
  </si>
  <si>
    <t xml:space="preserve">Per Comms Roadmap Phase 3 - Readiness; 9/8 - this will be a part of the Hub on Contact Support, get help, process, etc. </t>
  </si>
  <si>
    <t>Host pre-launch open forums, Lunch and Learns, and office hours</t>
  </si>
  <si>
    <t>AI CoE, Innovations Team (Daisha)</t>
  </si>
  <si>
    <t xml:space="preserve">Per Comms Roadmap Phase 3 - Readiness; removes barriers before go-live; 9/8 - this will be a part of Pre-launch communications, on the Hub to how users can find future information, help, or assistance. </t>
  </si>
  <si>
    <t>Create Do's and Don'ts list for Copilot Basic</t>
  </si>
  <si>
    <t>Supports the Rollout Plan presentation to Renee Raffalli; Atri is working on this to give to Vikki to add to the Hub and Comms.</t>
  </si>
  <si>
    <t>Provision access to all content on AI Teams SharePoint</t>
  </si>
  <si>
    <t>Supports the Rollout Plan presentation to Renee Raffalli; n/a for copilot, but added for HR Policies Chatbot.</t>
  </si>
  <si>
    <t>Confirm Copilot Basic session dates and delivery mechanics with Microsoft</t>
  </si>
  <si>
    <t>Tawanna Armstrong-Ivory, Brad Beran (Microsoft), Eli Mentzer (Microsoft), Atri Manthani, Brian Umerley</t>
  </si>
  <si>
    <t>Update 9/8: email sent to Brad Beran requesting confirmed dates and times for all six sessions within the 11/9-11/20 window (working dates 11/9, 11/11, 11/13, 11/16, 11/18, 11/20), facilitator availability for three sessions per week, Teams cloud recording enabled at every session for the BizLibrary module, and the post-session attendee export including name and work email. Response requested by end of day 9/10 so dates are in the ESC materials for 9/11. Delivery format confirmed as Webinar in Teams under the Unified Contract.</t>
  </si>
  <si>
    <t>Dry run call to prepare for the Executive Steering Committee meeting</t>
  </si>
  <si>
    <t>Update 9/8: dry run scheduled for 9/9 ahead of the 9/11 ESC. Walk the agenda end to end: Copilot Basic rollout scope, timeline and readiness; HR Policy Chatbot three-phase test strategy; AI Policies update. Confirm the two approval asks are stated plainly, and settle how the open reporting access route (D12) is presented, since adoption thresholds depend on it.; 9/8 - Agenda was sent to ESC by Renee Rafalli and deck was sent to Renee to review on 9/4.</t>
  </si>
  <si>
    <t>Meeting with DC Jesse Frye to source the master user list</t>
  </si>
  <si>
    <t>Tawanna Armstrong-Ivory, DC Jesse Frye</t>
  </si>
  <si>
    <t>Not Started</t>
  </si>
  <si>
    <t>Scheduled 9/22/26. Purpose is to obtain the list of all users across General Fund, Utilities (DPU) and Airports (DPC) that will serve as the baseline for tracking who registers for and attends a Copilot Basic workshop. Confirm at the meeting: available fields (name, department or fund, email, license type), the refresh cadence, and any HR or privacy review required before extraction. Feeds the next line.</t>
  </si>
  <si>
    <t>Obtain master user list for General Fund, Utilities (DPU) and Airports (DPC)</t>
  </si>
  <si>
    <t>Tawanna Armstrong-Ivory, Brian Umerley</t>
  </si>
  <si>
    <t>Baseline roster of eligible employees across the three funds, to be sourced from DC Jesse Frye (meeting scheduled 9/22/26, see preceding line) and reconciled to the license counts on the Training Capacity Plan tab (5,606 E5 and 1,801 F3, 7,407 total). Required before workshops begin so registration and attendance can be compared against the eligible population and adoption tracked by department. Needs at minimum name, department or fund, email, and license type. Confirm the data source and any privacy or HR review required before the list is pulled.</t>
  </si>
  <si>
    <t>ESC approval</t>
  </si>
  <si>
    <t>Roll Out Plan, Communications Plan, and Analytics Monitoring Plan presented to ESC for formal approval, including the revised multi-session, multi-month training schedule. ESC approval received 9/11/26: approval to proceed with Copilot Basic rollout.</t>
  </si>
  <si>
    <t>Present communications materials at the Weekly AI Program Check In</t>
  </si>
  <si>
    <t>Innovations Team (Vikki)</t>
  </si>
  <si>
    <t>Vikki is on schedule to present the communications materials at the Wednesday 9/16/26 Weekly AI Program Check In. Covers the launch content set due 9/16 and feeds the materials approvals gate (Hub, AppSpace) on the following line.</t>
  </si>
  <si>
    <t>C - Weekly AI Program Check In</t>
  </si>
  <si>
    <t>Target: materials approvals complete (Hub, AppSpace)</t>
  </si>
  <si>
    <t>Tawanna Armstrong-Ivory, Innovations Team (Vikki), Renee Raffali</t>
  </si>
  <si>
    <t>From the Rollout Plan presented to Renee Raffalli; Hub and AppSpace content approved for use</t>
  </si>
  <si>
    <t>Target: all policies, training, and comms content approved</t>
  </si>
  <si>
    <t>Tawanna Armstrong-Ivory, Atri Manthani, Innovations Team (Vikki, Daisha)</t>
  </si>
  <si>
    <t>From the Rollout Plan presented to Renee Raffalli; covers AppSpace, Hub, training videos, swag/incentives, and remaining content</t>
  </si>
  <si>
    <t>Complete CyberSecurity test run of Copilot Basic before the soft launch</t>
  </si>
  <si>
    <t>Rajan Sharma (CyberSecurity), Atri Manthani, Tawanna Armstrong-Ivory</t>
  </si>
  <si>
    <t>Rajan Sharma requested a test run of Copilot Basic ahead of the 10/15 soft launch. Confirm scope, participants and what constitutes a pass before the run, and schedule it far enough ahead that any finding can be resolved without moving the 10/15 soft launch or the 10/28 launch date. 9/14 - met with Peter and Rajan, no issues. Re-dated 9/15/26 to align with ESC deck v1.24. Moved ahead of the 10/6 soft launch. Previously 10/13/26. Confirmed complete by Rajan Sharma on a call 9/14/26. CyberSecurity is adding an overarching policy; Rajan confirmed it will not affect the Copilot Basic rollout. Track the policy separately so the published Do’s and Don’ts and the governance content stay consistent with it once issued.</t>
  </si>
  <si>
    <t>UAI internal dry run of Copilot Basic (9/21 to 10/2)</t>
  </si>
  <si>
    <t>Tawanna Armstrong-Ivory, Atri Manthani, Urban Analytics &amp; Innovation</t>
  </si>
  <si>
    <t>Validates messaging, Hub content and training materials before leadership exposure. Runs 9/21 to 10/2 per ESC deck v1.24. Must close before the 10/6 soft launch.</t>
  </si>
  <si>
    <t>C - UAI internal</t>
  </si>
  <si>
    <t>Hold Data Leads meeting: rollout overview, timeline and training expectations</t>
  </si>
  <si>
    <t>Data Leads briefing with the Hub page as the reference point. Per ESC deck v1.24.</t>
  </si>
  <si>
    <t>C - Data Leads</t>
  </si>
  <si>
    <t>Resource Hub page live</t>
  </si>
  <si>
    <t>Tawanna Armstrong-Ivory, Marie Zickefoose</t>
  </si>
  <si>
    <t>Hub resource page published and ready to be referenced in every downstream communication. Included in Marie’s regular Hub communications the week of 10/12. Per ESC deck v1.24.</t>
  </si>
  <si>
    <t>C - Citywide</t>
  </si>
  <si>
    <t>Begin AppSpace digital signage posting</t>
  </si>
  <si>
    <t>Digital signage announcing Copilot Basic and directing employees to the Hub page. Department staff meeting offers run the weeks of 10/12, 10/19 and 10/26. Per ESC deck v1.24.</t>
  </si>
  <si>
    <t>Target: soft launch communication to Cabinet, Directors, Chiefs, PIOs, and Data Leads</t>
  </si>
  <si>
    <t>From the Rollout Plan presented to Renee Raffalli PIOs are explicitly included in this distribution - confirm the PIO list is current before send, since they are the distribution multiplier into departments. Re-dated 9/15/26 to align with ESC deck v1.24. Soft launch is 10/6: Cabinet presentation with Council. Follow-up email includes a Copilot link for preview. Previously 10/15/26.</t>
  </si>
  <si>
    <t>4 - Action &amp; Go-Live</t>
  </si>
  <si>
    <t>Launch Date</t>
  </si>
  <si>
    <t>Tawanna Armstrong-Ivory, AI CoE</t>
  </si>
  <si>
    <t>Citywide launch - Copilot Basic link and getting-started basics provided; upcoming training schedule shared. Date moved from 10/31 to 10/28/26 per Rollout Plan v1.9.</t>
  </si>
  <si>
    <t>Week 1: Launch communication - Copilot Basic link and getting-started basics</t>
  </si>
  <si>
    <t>Tawanna Armstrong-Ivory, Comms</t>
  </si>
  <si>
    <t>Sent citywide; employees can begin exploring on their own. Access opens 10/28; the getting-started communication goes out Friday 10/30 ahead of the 11/2-11/6 self-guided familiarization week. Re-dated 9/15/26 to align with ESC deck v1.24. Getting-started comms sent on launch day per deck. Previously 10/30/26.</t>
  </si>
  <si>
    <t>Session 1 (1.5 hrs): Copilot Basics, Prompting 101, hands-on exercises, Q&amp;A</t>
  </si>
  <si>
    <t>AI CoE / Microsoft, Brian Umerley</t>
  </si>
  <si>
    <t>Opens the live curriculum. Pre-training pulse survey sent with the invite. Session recorded for the BizLibrary onboarding module.</t>
  </si>
  <si>
    <t>Session 2 (1.5 hrs): same curriculum repeated for capacity</t>
  </si>
  <si>
    <t>Identical content, order and depth as Session 1. Recorded.</t>
  </si>
  <si>
    <t>Session 3 (1.5 hrs): same curriculum repeated for capacity</t>
  </si>
  <si>
    <t>Session 4 (1.5 hrs): same curriculum repeated for capacity</t>
  </si>
  <si>
    <t>Session 5 (1.5 hrs): same curriculum repeated for capacity</t>
  </si>
  <si>
    <t>Session 6 (1.5 hrs): final session, same curriculum</t>
  </si>
  <si>
    <t>Final scheduled session; identical content. Delivery wraps ahead of Thanksgiving. Recorded for the BizLibrary onboarding module.</t>
  </si>
  <si>
    <t>Publish Go-Live Announcement (multi-channel broadcast)</t>
  </si>
  <si>
    <t>Tawanna Armstrong-Ivory, Comms, Renee Raffalli</t>
  </si>
  <si>
    <t>Per Comms Roadmap Phase 4 - Action and Go-Live; signals the system is live and ready for use. Re-dated 9/15/26 to align with ESC deck v1.24. Previously 09/21/26.</t>
  </si>
  <si>
    <t>Stand up live FAQ and Known Issues document for day-1 issues</t>
  </si>
  <si>
    <t>AI CoE, Innovations Team (Vikki - Hub)</t>
  </si>
  <si>
    <t>Per Comms Roadmap Phase 4 - Action and Go-Live; hosted on the Hub, updated in real time. Re-dated 9/15/26 to align with ESC deck v1.24. Previously 09/21/26.</t>
  </si>
  <si>
    <t>Deliver unified curriculum at each scheduled session</t>
  </si>
  <si>
    <t>AI CoE / Microsoft</t>
  </si>
  <si>
    <t>Same content, order, and depth at every session across the full rollout - not split or shortened as the series continues</t>
  </si>
  <si>
    <t>Schedule dedicated sessions/timeslots for F3 field employees</t>
  </si>
  <si>
    <t>Out of scope for this phase, which focuses on E5 only - revisit in a later phase</t>
  </si>
  <si>
    <t>Distribute Quick Reference slide and Official Training Manual at each session</t>
  </si>
  <si>
    <t>Given at the close of every session</t>
  </si>
  <si>
    <t>Enroll each session's attendees in Copilot Academy self-paced modules</t>
  </si>
  <si>
    <t>Referenced at close of every session for employees who want to go beyond the baseline curriculum</t>
  </si>
  <si>
    <t>Track registration/attendance against the 5,606 E5-employee target; adjust cadence if behind pace</t>
  </si>
  <si>
    <t>Tawanna Armstrong-Ivory, Microsoft, Innovations Team (Vikki - Hub), Brian Umerley</t>
  </si>
  <si>
    <t>Compare actuals to the Training Capacity Plan tab. Brian Umerley exports the Microsoft Teams attendance report the same day as each session and stores it centrally; that export is the only attendance record and the adoption roster. Brian maintains a running cumulative count against the 5,606 E5 target. F3 (~1,801) out of scope for this phase.</t>
  </si>
  <si>
    <t>Recruit and grow Champion Network volunteers across sessions</t>
  </si>
  <si>
    <t>Ongoing recruitment as each new cohort completes training</t>
  </si>
  <si>
    <t>Open and maintain Champion Channel</t>
  </si>
  <si>
    <t>Opens after the first session; stays open through the rollout and beyond. Re-dated 9/15/26 to align with ESC deck v1.24. Previously 09/21/26.</t>
  </si>
  <si>
    <t>Post-session logistics retrospective after each session</t>
  </si>
  <si>
    <t>Curriculum content stays fixed; only logistics (registration flow, pacing, room/platform setup) are refined between sessions</t>
  </si>
  <si>
    <t>Rollout midpoint checkpoint - confirm pace against 5,606 E5-employee target</t>
  </si>
  <si>
    <t>Brian Umerley provides the cumulative trained-to-date count against the 5,606 E5 target for the 11/13 checkpoint. Report to ESC/Cabinet; escalate if pace requires added sessions in the second week.</t>
  </si>
  <si>
    <t>All scheduled sessions complete / citywide training target met</t>
  </si>
  <si>
    <t>Final scheduled session is 11/20/26; delivery wraps ahead of Thanksgiving per Renee Raffalli's direction. Calculated date on the Training Capacity Plan tab is 11/22/26. Re-dated 9/15/26 to align with ESC deck v1.24. Final session is 11/20.</t>
  </si>
  <si>
    <t>Staff Office Hours for 4 weeks after each session</t>
  </si>
  <si>
    <t>AI CoE, Champion Network</t>
  </si>
  <si>
    <t>Resourced with dedicated time, not a volunteer afterthought</t>
  </si>
  <si>
    <t>Keep Champion Channel open indefinitely</t>
  </si>
  <si>
    <t>Run recurring Prompt-a-thon events</t>
  </si>
  <si>
    <t>Produces reusable 'book of prompts'; also serves as organic feedback</t>
  </si>
  <si>
    <t>Publish monthly newsletter on citywide progress and usage stories</t>
  </si>
  <si>
    <t>Draws on Copilot Dashboard and survey data</t>
  </si>
  <si>
    <t>Ongoing Copilot Dashboard monitoring against locked success metrics</t>
  </si>
  <si>
    <t>Tawanna Armstrong-Ivory, Atri Manthani, AI CoE, Business Case Lead, Data &amp; Analytics Team, Data Engineering Team (Pipeline)</t>
  </si>
  <si>
    <t>Reported to ESC/Cabinet on agreed cadence; data has up to 72-hr latency - plan weekly, not daily, refresh</t>
  </si>
  <si>
    <t>Build consolidated Power BI rollup dashboard (Operational + Strategic + Compliance tiers)</t>
  </si>
  <si>
    <t>Tawanna Armstrong-Ivory, Atri Manthani, Data &amp; Analytics Team, Data Engineering Team (Pipeline)</t>
  </si>
  <si>
    <t>Single rollup for ESC/Cabinet rather than five disconnected reports</t>
  </si>
  <si>
    <t>Track thumbs-up/down in-chat feedback and Prompt-a-thon output as organic signal</t>
  </si>
  <si>
    <t>Atri Manthani, Tawanna Armstrong-Ivory</t>
  </si>
  <si>
    <t>Confirm which native quality signals surface in the admin reporting tier available to the City</t>
  </si>
  <si>
    <t>Monitor for sensitive data moving to outside AI tools using Microsoft Defender for Cloud Apps</t>
  </si>
  <si>
    <t>Rajan Sharma (Cybersecurity), AI CoE</t>
  </si>
  <si>
    <t>Already included with our existing G5 license - no new procurement. Serves as the data-exfiltration safety net for Copilot Basic; Purview is not being used for this rollout, so Defender for Cloud Apps carries this function on its own.</t>
  </si>
  <si>
    <t>Monitoring scope (best practice): usage/adoption trends, data movement to outside AI tools, and AUP/conduct compliance</t>
  </si>
  <si>
    <t>Adoption trends via Copilot Dashboard; data exfiltration via Defender; conduct/AUP issues surfaced through Champion Network reports and periodic governance spot-checks</t>
  </si>
  <si>
    <t>Document monitoring scope and escalation path (no content-level prompt/response monitoring)</t>
  </si>
  <si>
    <t>Copilot Basic is monitored for usage and adoption, not prompt- and response-level content. This is the agreed scope for this rollout, not a pending gap - Purview is not required for Copilot Basic and is not part of this initiative. Serious incidents route through a Champion Network report or a Defender for Cloud Apps flag to open a case. Keep this distinction accurate in ESC materials and in the approved media lines. Revisit if scope expands beyond Copilot Basic Chat or regulated-data use cases are introduced.</t>
  </si>
  <si>
    <t>M365 Admin Center Copilot Usage Report - monthly export (90-day window)</t>
  </si>
  <si>
    <t>Exported monthly as CSV and retained in City-owned storage (SharePoint/Data &amp; Analytics Team) to preserve a historical record beyond the report's rolling 90/180-day window; complements the 30-day Copilot Dashboard view used for weekly monitoring</t>
  </si>
  <si>
    <t>Publish ongoing Tips and Best Practices (quick-hit emails/short videos)</t>
  </si>
  <si>
    <t>Per Comms Roadmap Phase 5 - Sustainment; highlights hidden features, shortcuts, or advanced tips</t>
  </si>
  <si>
    <t>Post Success Stories Showcase on the Hub</t>
  </si>
  <si>
    <t>Per Comms Roadmap Phase 5 - Sustainment; highlights how teams/departments are using Copilot Source stories through the Champion Network or a separate opt-in form on the Hub, not the pulse surveys - the surveys are anonymous, so responses cannot be attributed or permission sought.</t>
  </si>
  <si>
    <t>Route Comms Roadmap Feedback Survey through the pulse survey cycle</t>
  </si>
  <si>
    <t>Tawanna Armstrong-Ivory, Atri Manthani</t>
  </si>
  <si>
    <t>Comms Roadmap Phase 5 deliverable. No separate feedback instrument is built - feature requests, improvement areas, and lingering issues are captured through the existing pulse surveys: the post-training blocker and follow-up-topic questions, and the 90-day drop-off, unclear-permission, and biggest-unlock questions. Route anything the pulse surveys do not catch (day-to-day bugs) to the Support Contacts directory and the live FAQ/Known Issues document rather than a new survey. Update the Comms Roadmap so Phase 5 points at the pulse cycle.</t>
  </si>
  <si>
    <t>Send scheduled Maintenance and Future Updates reminders</t>
  </si>
  <si>
    <t>Per Comms Roadmap Phase 5 - Sustainment; upcoming upgrades, maintenance windows, new feature releases</t>
  </si>
  <si>
    <t>Regularly update Hub FAQ page based on real-time employee feedback</t>
  </si>
  <si>
    <t>Innovations Team (Vikki - Hub)</t>
  </si>
  <si>
    <t>Per Comms Roadmap Phase 2 - Understanding (Marketing Opportunities), continued as an ongoing practice</t>
  </si>
  <si>
    <t>Build pre, post, and 90-day surveys in Microsoft Forms and test end to end</t>
  </si>
  <si>
    <t>All three question sets are drafted (tasks 21-23). Build in Forms/Viva, confirm the repeated items are identical across all three instruments, verify response export into the reporting pipeline, and pilot with the AI CoE before 9/11 ESC. Set all instruments to authenticated (record work email) so responses join to the Teams attendance export.</t>
  </si>
  <si>
    <t>Configure pulse surveys as fully anonymous and verify no identity fields are captured</t>
  </si>
  <si>
    <t>Approach decided 8/27: surveys are 100% anonymous. No name, work email, or self-generated code is collected - session date only. In Microsoft Forms, turn off 'record name' and set the form to accept responses from anyone with the link; verify on a test submission that no identity column appears in the export before the first live session. Consequence accepted: pre and post results are reported as group averages and distributions by session date, not as matched pairs. Pre-survey respondents and post-survey respondents are not guaranteed to be the same people, so reported lift may be influenced by respondent mix - state this limitation explicitly in ESC reporting rather than implying a matched result. Teams attendance reports remain the attendance record and adoption roster and are kept separate from survey responses. Note: the Forms configuration reminder was removed from the survey documents themselves in v1.4, so the not-record-names setting and the pre-launch test submission are tracked here only - confirm both before the first live session.</t>
  </si>
  <si>
    <t>Issue pre-training pulse survey with each session invite</t>
  </si>
  <si>
    <t>Tawanna Armstrong-Ivory, Comms, AI CoE, Brian Umerley</t>
  </si>
  <si>
    <t>Sent with the session invite ahead of every scheduled session across the 11/9-11/20 window; link lives in the comms email blast template. Brian Umerley confirms the link is present in every invitation before send.</t>
  </si>
  <si>
    <t>Issue post-training pulse survey at the close of each session</t>
  </si>
  <si>
    <t>AI CoE / Microsoft, Innovations Team (Vikki - Hub), Brian Umerley</t>
  </si>
  <si>
    <t>Delivered in-session at close alongside the Quick Reference slide and Official Training Manual; hold the last three minutes for it. Brian Umerley confirms with Microsoft that the post-session survey is issued in session at close. Survey is anonymous (session date only); the Teams attendance export is captured separately and is never joined to survey responses.</t>
  </si>
  <si>
    <t>Report running pre/post confidence lift at the rollout midpoint checkpoint</t>
  </si>
  <si>
    <t>Feeds the midpoint go/no-go on pace; pairs survey confidence lift with Copilot Dashboard adoption data so ESC sees both capability and usage.</t>
  </si>
  <si>
    <t>Field 30-day interim mini-pulse (intent-to-use and blocker questions only)</t>
  </si>
  <si>
    <t>Tawanna Armstrong-Ivory, Innovations Team (Daisha)</t>
  </si>
  <si>
    <t>Two questions repeated from the post-survey (5-day intent-to-use and remaining blocker) fielded 30 days after the final session on 11/20/26. Confirm the send date against the holiday period - a late-December send may depress response rates.</t>
  </si>
  <si>
    <t>Field 90-day follow-up survey</t>
  </si>
  <si>
    <t>Fielded 90 days after the final session (11/20/26). Measures realized usage against the pre-survey baseline and post-survey intent; drop-off question distinguishes a training gap from a licensing or policy gap.</t>
  </si>
  <si>
    <t>Announce 30-day and 90-day surveys across all internal comms channels</t>
  </si>
  <si>
    <t>Tawanna Armstrong-Ivory, Innovations Team (Vikki), Comms</t>
  </si>
  <si>
    <t>Per Comms Roadmap Phase 5 - Sustainment. Push through newsletter, Hub, AppSpace, and Teams channel (any internal comms channel) in the same week the survey is fielded. Response rates on post-training follow-ups fall sharply without a comms push; pair each survey with a Success Stories or Tips post in the same week.</t>
  </si>
  <si>
    <t>Publish consolidated survey findings (pre / post / 30-day / 90-day) to ESC and Cabinet</t>
  </si>
  <si>
    <t>Tawanna Armstrong-Ivory, Atri Manthani, Renee Raffalli</t>
  </si>
  <si>
    <t>Headline reporting: confidence lift (pre vs. post vs. 90-day), realized usage vs. intent, time saved, and the ranked blocker list that scopes the intermediate-session decision.</t>
  </si>
  <si>
    <t>Review and approve pre, post, and 90-day survey instruments (v1.4)</t>
  </si>
  <si>
    <t>Renee Raffalli, Atri Manthani, Innovations Team (Daisha)</t>
  </si>
  <si>
    <t>Drafts created 8/27, revised through v1.4. Approval needed before the Forms build (task 80) so the repeated items are locked - any rewording after build breaks comparability across the three instruments. Confirm the anonymity decision at the same time, since it is what allows candid answers on the blocker and acceptable-use questions.</t>
  </si>
  <si>
    <t>Hold Manager awareness and alignment meeting (leadership alignment meeting / memo)</t>
  </si>
  <si>
    <t>Comms Roadmap Phase 1 - Awareness, Managers audience. Distinct from the Chiefs &amp; Directors email (task 10): managers need a live alignment touchpoint plus a memo, since they field the first questions from their teams.</t>
  </si>
  <si>
    <t>Hold Department Representatives project overview and expectations session</t>
  </si>
  <si>
    <t>Comms Roadmap Phase 1 - Awareness, Department Representatives audience. Teams or in-person overview covering rollout scope and what departments are expected to do.</t>
  </si>
  <si>
    <t>Produce Manager Guide (physical/digital) and run manager workshop</t>
  </si>
  <si>
    <t>Tawanna Armstrong-Ivory, Innovations Team (Vikki - design)</t>
  </si>
  <si>
    <t>Comms Roadmap Phase 2 - Understanding, Managers/Team Leads audience. Equips managers to support their teams during rollout; no manager-specific asset currently exists in the plan.</t>
  </si>
  <si>
    <t>Schedule department-level meetings and Q&amp;A sessions</t>
  </si>
  <si>
    <t>Tawanna Armstrong-Ivory, Department Representatives</t>
  </si>
  <si>
    <t>Comms Roadmap Phase 2 - Understanding, Department Representatives audience. Department-level support and information sharing ahead of the training window.</t>
  </si>
  <si>
    <t>Decision</t>
  </si>
  <si>
    <t>Select the 2-3 key benefits used across all launch messaging</t>
  </si>
  <si>
    <t>Comms Roadmap lists candidate benefits (shadow AI risk reduction, time back on routine writing, no additional licensing cost, foundation for later AI tiers). Pick 2-3 and use them verbatim across the Leadership Announcement, Overview Document, signage, and session openers - inconsistent benefit messaging is the most common reason a launch narrative does not land. The same benefits carry into the press release, so select them with an external audience in mind.</t>
  </si>
  <si>
    <t>Produce launch announcement video message</t>
  </si>
  <si>
    <t>Innovations Team (Vikki - design), Tawanna Armstrong-Ivory</t>
  </si>
  <si>
    <t>Comms Roadmap Phase 1 lists video as an employee channel alongside email and intranet; currently only written messages are in the plan.</t>
  </si>
  <si>
    <t>Publish Office Hours schedule (virtual/in-person support rooms) at go-live</t>
  </si>
  <si>
    <t>Tawanna Armstrong-Ivory, AI CoE, Innovations Team (Vikki - Hub)</t>
  </si>
  <si>
    <t>Comms Roadmap Phase 4 deliverable. Task 63 staffs office hours after each session; this is the published calendar and drop-in support rooms for the launch window itself.</t>
  </si>
  <si>
    <t>Update Comms Roadmap to include the pulse survey cycle</t>
  </si>
  <si>
    <t>Add the pre, post, 30-day and 90-day pulse instruments to Comms Roadmap Phase 5 and point the Phase 5 'Feedback Survey' deliverable at them rather than describing a separate pipeline. Ensures the follow-up survey pushes are planned as comms events and that there is one feedback channel, not two competing ones.</t>
  </si>
  <si>
    <t>Establish comms distribution and approval workflow (all launch messaging approved by Renee/Liz before send)</t>
  </si>
  <si>
    <t>Tawanna Armstrong-Ivory, Renee Raffalli, Liz, Comms</t>
  </si>
  <si>
    <t>All citywide Copilot Basic messaging - Leadership Announcement, Chiefs &amp; Directors email, session invites, Go-Live Announcement, newsletters, AppSpace signage, and survey pushes - requires Renee/Liz approval before distribution. Roles per Comms Roadmap: design Vikki Pickett; message development Tawanna and Atri; distribution Comms with Renee/Liz approving. Agree the turnaround time for approvals at the same time, since every dated comms task depends on it. External media communications run through Marie Zickefoose and follow the same Renee/Liz approval path before release.</t>
  </si>
  <si>
    <t>Confirm session recording approach and consent language for Hub publication</t>
  </si>
  <si>
    <t>Tawanna Armstrong-Ivory, Atri Manthani, ITS</t>
  </si>
  <si>
    <t>Sessions must be recorded to feed the BizLibrary onboarding module. Confirm Teams cloud recording is enabled for every scheduled session, agree who starts and stores the recording, and add a recording notice to the session invite and the session opener. Decide up front whether attendee video and chat are captured or suppressed - recordings reused for onboarding are viewed by people who were not in the room. BizLibrary is being retired as the document source (noted 9/15/26); the hosting destination for recordings and the onboarding module must be re-decided. See D17. Destination resolved 9/15/26: the Resource Hub, not BizLibrary. See D17.</t>
  </si>
  <si>
    <t>Record each training session for Hub reuse</t>
  </si>
  <si>
    <t>AI CoE / Microsoft, Innovations Team (Vikki - Hub)</t>
  </si>
  <si>
    <t>Record every session; capture the clean master of the unified curriculum for the onboarding module. Store recordings centrally as they are produced rather than retrieving them later - Teams/Stream retention policies are finite and the December recording must survive until the module is built in January. BizLibrary is being retired as the document source (noted 9/15/26); the hosting destination for recordings and the onboarding module must be re-decided. See D17. Destination resolved 9/15/26: the Resource Hub, not BizLibrary. See D17.</t>
  </si>
  <si>
    <t>Produce and publish the Copilot Basic new-hire recording on the Resource Hub</t>
  </si>
  <si>
    <t>Tawanna Armstrong-Ivory, Innovations Team (Vikki - design), HR</t>
  </si>
  <si>
    <t>Edited session recording plus the Quick Reference slide, Official Training Manual, and Do's and Don'ts list, published as a BizLibrary module. Purpose: every new employee completes it as part of onboarding, since Copilot Basic access is granted automatically via Entra ID on day one. Trim to the evergreen curriculum - cut rollout-specific timing, dates, and session logistics that will not make sense to someone starting in 2028. 9/14 - may need to find something else as BizLibrary is going away. BizLibrary is being retired as the document source (noted 9/15/26); the hosting destination for recordings and the onboarding module must be re-decided. See D17. Destination resolved 9/15/26: the Resource Hub, not BizLibrary. See D17.</t>
  </si>
  <si>
    <t>Add Copilot Basic to the standard new-hire onboarding path (Hub recording, software install, Do’s and Don’ts)</t>
  </si>
  <si>
    <t>Tawanna Armstrong-Ivory, HR, Renee Raffalli</t>
  </si>
  <si>
    <t>Assign the BizLibrary module in the new-hire onboarding sequence and agree the completion expectation and how it is tracked. Without this step the module exists but is never assigned, which is the usual failure mode for onboarding content. ESC direction 9/11/26: handle new hires through an on-demand approach, likely a recording, rather than a separate live path (D5). BizLibrary is being retired as the document source (noted 9/15/26); the hosting destination for recordings and the onboarding module must be re-decided. See D17. Destination resolved 9/15/26: the Resource Hub, not BizLibrary. See D17 New-hire onboarding has three components: a recording on the Resource Hub for new hires to listen to, Copilot Basic installed on new-hire computers, and the Do’s and Don’ts displayed on the Hub.</t>
  </si>
  <si>
    <t>Add Copilot Basic to the new-hire computer build so it is installed at issue</t>
  </si>
  <si>
    <t>Mike Ruscin, DC Faranak</t>
  </si>
  <si>
    <t>Component two of the new-hire onboarding approach. Builds on the Intune deployment line in Phase 0 so new-hire machines receive Copilot Basic at issue rather than by request.</t>
  </si>
  <si>
    <t>Publish the Do’s and Don’ts on the Resource Hub</t>
  </si>
  <si>
    <t>Component three of the new-hire onboarding approach and a citywide reference. The list itself is complete; this line covers display on the Hub when the page goes live 10/12. Keep consistent with the overarching CyberSecurity policy once issued.</t>
  </si>
  <si>
    <t>Review and refresh the Hub new-hire recording and Do’s and Don’ts annually</t>
  </si>
  <si>
    <t>Copilot features and City guidance change; an onboarding module recorded in late 2026 will drift. Re-review at least annually, and immediately if Copilot scope expands beyond Chat, Word, Excel, and PowerPoint or the acceptable-use guidance changes. BizLibrary is being retired as the document source (noted 9/15/26); the hosting destination for recordings and the onboarding module must be re-decided. See D17. Destination resolved 9/15/26: the Resource Hub, not BizLibrary. See D17.</t>
  </si>
  <si>
    <t>Draft proactive press release announcing Copilot Basic launch</t>
  </si>
  <si>
    <t>Marie Zickefoose (Media Relations), Tawanna Armstrong-Ivory, Atri Manthani</t>
  </si>
  <si>
    <t>Proactive external announcement of the citywide Copilot Basic rollout. Message development with Tawanna and Atri; Marie owns the release and media relations. Use the same 2-3 key benefits selected for internal messaging so the external and internal narratives match. Careful wording needed on the shadow AI point - reducing unapproved public AI tool use is a strength internally but reads as an admission of prior exposure in a press release; frame around governed, trained, no-additional-cost access instead.</t>
  </si>
  <si>
    <t>Prepare approved media lines on privacy, monitoring, and data handling</t>
  </si>
  <si>
    <t>Marie Zickefoose (Media Relations), Tawanna Armstrong-Ivory, Atri Manthani, Legal</t>
  </si>
  <si>
    <t>Reporters will ask what the City monitors, whether resident data touches Copilot, and how HIPAA/CJIS-adjacent data is handled. Prepare approved lines covering what is measured (usage and adoption via the Copilot Dashboard and M365 Admin Center), what is not (prompt and response content), and the Defender for Cloud Apps safety net - so answers are consistent and pre-cleared rather than improvised.</t>
  </si>
  <si>
    <t>Issue press release (after internal soft launch, on or after Launch Date)</t>
  </si>
  <si>
    <t>Marie Zickefoose (Media Relations), Renee Raffalli</t>
  </si>
  <si>
    <t>Sequencing is the point: the internal soft launch to Cabinet, Directors, Chiefs, PIOs and Data Leads lands 10/15 and the Launch Date is 10/28. The press release must not precede the soft launch. Coordinate with the Go-Live Announcement so internal and external land together or internal lands first.</t>
  </si>
  <si>
    <t>Decide Copilot Basic reporting access route: Microsoft O365 reporting connection vs. licensing 50 users</t>
  </si>
  <si>
    <t>Tawanna Armstrong-Ivory, Atri Manthani, DC Faranak, Renee Raffalli</t>
  </si>
  <si>
    <t>Blocks the Copilot Dashboard configuration task and, through it, every adoption metric. Preferred route: connect to O365 for reporting through Microsoft, avoiding both the 50-license purchase and its associated Microsoft training requirement. Fallback: license 50 users to activate Admin Center reporting. Confirm the O365 connection route with Microsoft and DC Faranak before the 9/11 ESC so metric thresholds are locked against what can actually be measured.</t>
  </si>
  <si>
    <t>Complete end-to-end audit workflow testing (Forms, SharePoint List, Power Automate)</t>
  </si>
  <si>
    <t>Validates the full testing and audit mechanism before Microsoft training. Confirms evaluation fields captured, Form responses written to the SharePoint List, Power Automate routing and status changes correct, and the audit trail traceable from submission through remediation and retest.</t>
  </si>
  <si>
    <t>C1 - Project team</t>
  </si>
  <si>
    <t>Continue preview audit testing through Labor Day week</t>
  </si>
  <si>
    <t>Controlled preview test cases run through the chatbot and Form to keep the workflow under active validation. Sample remediation and retest scenarios confirm issues can be logged, corrected, retested and traced to closure.</t>
  </si>
  <si>
    <t>Hold Microsoft review meeting: chatbot, audit strategy, security group, licensing, training model</t>
  </si>
  <si>
    <t>Agenda covers the chatbot walkthrough, testing and validation audit strategy, security-group strategy, licensing strategy and confirmation of the three-session Microsoft training model. Gating call for D14 and D15. Email to Eli 9/14/26 to schedule; agenda includes security group setup, reporting, and license type and capacity. D14 (security group naming and governance) and D15 (license type and capacity) were closed as separate decisions 9/15/26 and are now tracked here. Both must be settled at this meeting.</t>
  </si>
  <si>
    <t>C2 - Microsoft, project team</t>
  </si>
  <si>
    <t>Create Entra ID security group for HR Policy Chatbot testing access</t>
  </si>
  <si>
    <t>Atri Manthani, DC Faranak Arab</t>
  </si>
  <si>
    <t>Working name "HR Policy Chatbot - Testing Access", subject to City naming standards. Membership managed in phase-based waves. Training status does not determine group membership or license assignment. Held pending the Microsoft walkthrough (D14); naming subject to City standards.</t>
  </si>
  <si>
    <t>Confirm phase-based licensing and membership strategy with the Global Administrator</t>
  </si>
  <si>
    <t>Tawanna Armstrong-Ivory, Atri Manthani, DC Faranak Arab</t>
  </si>
  <si>
    <t>Licenses are assigned by authorized testing phase, not by training completion. Confirm license type, assignment process, available capacity and validation steps. Held pending the Microsoft walkthrough (D15) on license type and capacity.</t>
  </si>
  <si>
    <t>ESC approval of HR Chatbot communication and testing plans</t>
  </si>
  <si>
    <t>Hard gate. No tester communication is issued before this approval. Agenda item 3 at the 9/11 ESC: scope and status, three-phase test strategy, Microsoft training window, phased licensing, testing timeline. ESC approval received 9/11/26: approval to proceed with HR Policy Chatbot training and testing plans.</t>
  </si>
  <si>
    <t>C2a - ESC</t>
  </si>
  <si>
    <t>Create Teams channel for HR Policy Chatbot testing communications</t>
  </si>
  <si>
    <t>Standing channel for communicating with testers across all three phases: announcements, question intake, issue reporting, and reminders. Confirm whether tester communications currently planned as email (supervisor notification, onboarding email, session reminders, follow-ups) should move to or be mirrored in this channel, and update the HR Chatbot Comms Calendar channel column accordingly.</t>
  </si>
  <si>
    <t>C - Testers, all phases</t>
  </si>
  <si>
    <t>Send supervisor notification: who is testing, which phase, expected time commitment</t>
  </si>
  <si>
    <t>Held until after ESC approval on 9/11.</t>
  </si>
  <si>
    <t>C3 - Supervisors</t>
  </si>
  <si>
    <t>Send standardized tester onboarding email to Phase 1 and Phase 2</t>
  </si>
  <si>
    <t>Covers chatbot and testing purpose, assigned phase, training dates, licensing and access separation, test-result logging in the Microsoft Form, and what to expect. Held until after ESC approval. Re-dated 9/15/26 to align with ESC deck v1.24. Invitations must precede the 9/28 Session 1. Previously 09/11/26.</t>
  </si>
  <si>
    <t>C4 - Phase 1 (15), Phase 2 (3)</t>
  </si>
  <si>
    <t>Issue Microsoft training session invitations with cohort assignment</t>
  </si>
  <si>
    <t>Phase 1, Phase 2 and Phase 3 Cohort A invitations sent 9/11 or 9/12, immediately after ESC approval. Phase 3 Cohort B invitations go out when Dustin Hargis provides the roster. Brian Umerley owns the sends.</t>
  </si>
  <si>
    <t>C5 - Calendar invite</t>
  </si>
  <si>
    <t>Obtain Phase 3 Generalist roster from Dustin Hargis and issue onboarding</t>
  </si>
  <si>
    <t>Tawanna Armstrong-Ivory, Atri Manthani, Dustin Hargis</t>
  </si>
  <si>
    <t>Update 9/8: Tawanna and Atri Manthani are meeting with Dustin Hargis on 9/9 to obtain the Phase 3 Generalist roster. Approximately 80 Generalists. Once received, the roster is split into Cohorts A and B, reconciled against the training and access tracker, and the identical standardized onboarding email plus Cohort B training invitation are issued. Onboarding is triggered by roster receipt and is held until after ESC approval on 9/11.</t>
  </si>
  <si>
    <t>C6 - Approximately 80 Generalists</t>
  </si>
  <si>
    <t>Microsoft training Session 1: Phase 1 + Phase 2 testers</t>
  </si>
  <si>
    <t>Tawanna Armstrong-Ivory, Atri Manthani, Brian Umerley</t>
  </si>
  <si>
    <t>Standardized curriculum: M365 Copilot Premium, HR Policy Chatbot and testing method, and how to perform auditing. Reminder and pre-read sent same week. Re-dated 9/15/26 to align with ESC deck v1.24. Phase 3 training runs the week of 10/26 per deck. Previously 09/28/26.</t>
  </si>
  <si>
    <t>C7 - Phase 1 plus Phase 2</t>
  </si>
  <si>
    <t>Microsoft training Session 2: Phase 3 Cohort A</t>
  </si>
  <si>
    <t>Microsoft, AI CoE, Brian Umerley</t>
  </si>
  <si>
    <t>Same standardized curriculum. Delivered within the 9/14-9/18 window; reminder and pre-read sent 9/16-9/18. Re-dated 9/15/26 to align with ESC deck v1.24. Phase 3 training runs the week of 10/26 per deck. Previously 09/17/26.</t>
  </si>
  <si>
    <t>C8 - Phase 3 Cohort A</t>
  </si>
  <si>
    <t>Microsoft training Session 3: Phase 3 Cohort B</t>
  </si>
  <si>
    <t>Same standardized curriculum plus readiness completion. Delivered within the 9/21-9/25 window; reminder and pre-read sent 9/21-9/23. Re-dated 9/15/26 to align with ESC deck v1.24. Previously 09/24/26.</t>
  </si>
  <si>
    <t>C9 - Phase 3 Cohort B</t>
  </si>
  <si>
    <t>Issue post-session follow-ups and non-attendee make-up options</t>
  </si>
  <si>
    <t>Tawanna Armstrong-Ivory, Brian Umerley (backup)</t>
  </si>
  <si>
    <t>Recording, materials, what happens next, and a restatement that access and licensing are provisioned by phase, not by training completion. Non-attendee follow-up 9/24. Brian Umerley serves as backup for attendance follow-up and make-up coordination; availability not confirmed, so primary ownership stays with Tawanna. Re-dated 9/15/26 to align with ESC deck v1.24. Previously 09/25/26.</t>
  </si>
  <si>
    <t>C10, C11 - Session attendees and non-attendees</t>
  </si>
  <si>
    <t>Training window complete and readiness tracked</t>
  </si>
  <si>
    <t>All three Microsoft-led sessions delivered. Attendance and readiness tracked as a separate item from access provisioning. Re-dated 9/15/26 to align with ESC deck v1.24. Previously 09/25/26.</t>
  </si>
  <si>
    <t>C12 - All testers</t>
  </si>
  <si>
    <t>Provision Phase 1: security group activated, licenses assigned, access validated</t>
  </si>
  <si>
    <t>Atri Manthani, DC Faranak Arab, Rajan Sharma, Peter Rodenberg</t>
  </si>
  <si>
    <t>15 named testers. Membership and license assignment validated before testing begins.</t>
  </si>
  <si>
    <t>C13 - 15 Phase 1 testers</t>
  </si>
  <si>
    <t>Inventory the grounded HR policy content for regulated data (PHI, medical, benefits)</t>
  </si>
  <si>
    <t>Review the SharePoint sources the chatbot is grounded in and identify whether any content carries employee health information - FMLA, ADA accommodation, medical leave, workers compensation, or benefits material. The answer determines whether a separate HIPAA determination is required for this use case. Complete before Phase 1 testing opens 9/28 so the finding is known while the tester population is still 15 people.</t>
  </si>
  <si>
    <t>Confirm HIPAA BAA and CJIS coverage for the HR Policy Chatbot stack (Copilot Studio and Dataverse)</t>
  </si>
  <si>
    <t>Separate from the Copilot Basic BAA/CJIS confirmation - a different service, storage location and data flow. Confirm coverage for Copilot Studio and for Dataverse, where conversation transcripts are retained and from which transcripts are pulled during an incident review. Triggered by the content inventory; if regulated data is in the grounded sources, treat this as a hard gate before pilot deployment rather than a production-gate item. Target completion before the Phase 1 gate so it does not surface at the 11/30 ESC.</t>
  </si>
  <si>
    <t>Maintain the access and training tracker (name, phase, group date, license status, access validation, training completion)</t>
  </si>
  <si>
    <t>Training completion is tracked as a separate readiness item and is never the trigger for access or licensing. Reviewed weekly with DC Faranak Arab during training and testing. Brian Umerley serves as backup for tracker maintenance; availability not confirmed, so primary ownership stays with Tawanna.</t>
  </si>
  <si>
    <t>Reconcile missing testers against the tracker and supply participation figures for leadership updates</t>
  </si>
  <si>
    <t>Brian Umerley reconciles non-attendees and missing testers against the training and access tracker and flags gaps. Figures feed the leadership and launch updates: Copilot Basic adoption and HR Chatbot training progress. Brian Umerley serves as backup for tracker reconciliation; availability not confirmed, so primary ownership stays with Tawanna.</t>
  </si>
  <si>
    <t>Phase 1 testing opens - 15 named testers</t>
  </si>
  <si>
    <t>Two weeks, 9/28-10/9. Testers execute assigned questions, evaluate correctness, completeness, relevance and policy alignment, verify source grounding and citations, and log results in the Microsoft Form. Re-dated 9/15/26 to align with ESC deck v1.24. Phase 1 testing runs 10/5 to 10/16. Previously 09/28/26.</t>
  </si>
  <si>
    <t>C14 - Email plus Teams post</t>
  </si>
  <si>
    <t>Phase 1 week 1 pulse and deadline reminder</t>
  </si>
  <si>
    <t>Pulse 10/2 covering submissions to date, themes and coverage gaps; deadline reminder 10/7 for results due 10/9. Re-dated 9/15/26 to align with ESC deck v1.24. Previously 10/07/26.</t>
  </si>
  <si>
    <t>C15, C16 - Phase 1</t>
  </si>
  <si>
    <t>Phase 1 testing closes</t>
  </si>
  <si>
    <t>Close notice explains what the gate week involves. Re-dated 9/15/26 to align with ESC deck v1.24. Previously 10/09/26.</t>
  </si>
  <si>
    <t>C17 - Phase 1</t>
  </si>
  <si>
    <t>Phase 1 evaluation and remediation gate</t>
  </si>
  <si>
    <t>Week of 10/12-10/16. Consolidate results and metrics, identify recurring issues and grounding gaps, remediate, retest without regression, confirm critical issues closed or dispositioned. Leadership approval required before Phase 2 begins. Retest confirmations requested 10/13; results and approval request 10/15; decision communicated 10/16. Re-dated 9/15/26 to align with ESC deck v1.24. Gate runs 10/19 to 10/23. Previously 10/16/26.</t>
  </si>
  <si>
    <t>C18, C19, C20 - Phase 1, Phase 2, Leadership</t>
  </si>
  <si>
    <t>Provision Phase 2 after Phase 1 approval</t>
  </si>
  <si>
    <t>Dustin Hargis, Patrick Lang and Matt Hetrick added to the security group and licensed only on Phase 2 authorization; access confirmed before testing begins. Re-dated 9/15/26 to align with ESC deck v1.24. Previously 10/16/26.</t>
  </si>
  <si>
    <t>C21 - 3 Phase 2 testers</t>
  </si>
  <si>
    <t>Phase 2 HR business testing opens - 3 testers</t>
  </si>
  <si>
    <t>Two weeks, 10/19-10/30. Focus on policy accuracy in realistic HR business scenarios, source grounding and traceability, and missing policy coverage. Week 1 check-in 10/23; deadline reminder 10/28.</t>
  </si>
  <si>
    <t>C22, C23, C24 - Phase 2</t>
  </si>
  <si>
    <t>Phase 2 testing closes</t>
  </si>
  <si>
    <t>Close and thank you issued to Phase 2 testers.</t>
  </si>
  <si>
    <t>C25 - Phase 2</t>
  </si>
  <si>
    <t>Phase 2 evaluation and remediation gate</t>
  </si>
  <si>
    <t>Week of 11/2-11/6. Consolidate results, resolve knowledge and response-quality issues, retest, confirm HR business stakeholder alignment. Leadership approval required before Phase 3. Retest confirmations and roster reconciliation 11/3; results and approval request 11/5; decision 11/6.</t>
  </si>
  <si>
    <t>C26, C27, C28, C29 - Phase 2, Phase 3, Leadership</t>
  </si>
  <si>
    <t>Provision Phase 3 after Phase 2 approval and brief the service desk</t>
  </si>
  <si>
    <t>Approximately 80 Generalists added to the security group and licensed on Phase 3 authorization. Service desk briefed the same day with a triage script and FAQ ahead of the Monday start, since roughly 80 users are provisioned at once.</t>
  </si>
  <si>
    <t>C30, C31 - Generalists, service desk</t>
  </si>
  <si>
    <t>Issue Cabinet and HR leadership FYI ahead of Phase 3</t>
  </si>
  <si>
    <t>Renee Raffalli, Tawanna Armstrong-Ivory, Dustin Hargis</t>
  </si>
  <si>
    <t>One-page notices land before roughly 80 Generalists gain access, so directors and HR leadership do not hear about the chatbot from their own staff first.</t>
  </si>
  <si>
    <t>C31a, C31b - Cabinet, HR leadership</t>
  </si>
  <si>
    <t>Phase 3 Generalist testing opens - approximately 80 testers</t>
  </si>
  <si>
    <t>Two weeks, 11/9-11/20. Broadest formal testing stage: response quality and consistency across a larger population, policy accuracy, citation quality, user experience and remaining edge cases. Opening notice restates the full testing method rather than assuming recall, since Phase 3 trained six weeks earlier. Re-dated 9/15/26 to align with ESC deck v1.24. Phase 3 testing runs 11/2 to 11/13. Previously 11/09/26.</t>
  </si>
  <si>
    <t>C32 - Email plus Teams post</t>
  </si>
  <si>
    <t>Phase 3 week 1 pulse and deadline reminder</t>
  </si>
  <si>
    <t>Pulse 11/13 covering participation rate, themes and coverage gaps to target; deadline reminder 11/18 for results due 11/20. Re-dated 9/15/26 to align with ESC deck v1.24. Previously 11/18/26.</t>
  </si>
  <si>
    <t>C33, C34 - Phase 3</t>
  </si>
  <si>
    <t>Phase 3 closes - all formal testing complete</t>
  </si>
  <si>
    <t>Close notice to all 98 testers. Re-dated 9/15/26 to align with ESC deck v1.24. Previously 11/20/26.</t>
  </si>
  <si>
    <t>C35 - All 98 testers</t>
  </si>
  <si>
    <t>Final evaluation and pilot readiness gate</t>
  </si>
  <si>
    <t>Week of 11/23-11/27. Consolidate Phase 3 results and cumulative findings, complete final remediation and retest, confirm acceptance criteria met and stakeholder alignment, prepare the pilot readiness package and the consolidated approval package. Retest confirmations 11/23-11/25; access disposition notice 11/25; readiness summary to Leadership 11/26. Re-dated 9/15/26 to align with ESC deck v1.24. Final gate runs 11/16 to 11/20. Previously 11/27/26.</t>
  </si>
  <si>
    <t>C36, C37, C38 - All testers, Leadership</t>
  </si>
  <si>
    <t>ESC review and pilot approval</t>
  </si>
  <si>
    <t>Week of 11/30. Consolidated three-phase results, remediation history, retest confirmation, outstanding risks and pilot recommendation presented as a deck plus memo. Pilot deployment begins only after ESC approval.</t>
  </si>
  <si>
    <t>C39 - ESC</t>
  </si>
  <si>
    <t>Communicate the ESC decision and brief Cabinet and HR leadership</t>
  </si>
  <si>
    <t>Tawanna Armstrong-Ivory, Renee Raffalli, Dustin Hargis</t>
  </si>
  <si>
    <t>Decision to all 98 testers and supervisors within three days. Cabinet and HR leadership results briefings delivered after the decision and before pilot access is granted.</t>
  </si>
  <si>
    <t>C40, C40a, C40b</t>
  </si>
  <si>
    <t>Pilot deployment begins</t>
  </si>
  <si>
    <t>December 2026, after ESC approval. Controlled access to an approved population with active monitoring. Pilot onboarding covers access, expectations, issue reporting and support.</t>
  </si>
  <si>
    <t>C41 - Approved pilot group</t>
  </si>
  <si>
    <t>Publish the user issue reporting path</t>
  </si>
  <si>
    <t>Users can state an issue in the chatbot and receive the Microsoft Form link; the same link is published on the AI Program SharePoint Hub. Submissions land in a Microsoft List for centralized tracking.</t>
  </si>
  <si>
    <t>C42 - Pilot users</t>
  </si>
  <si>
    <t>Monitor pilot across quality, usage, technical health, responsible AI, feedback and audit signals</t>
  </si>
  <si>
    <t>Tawanna Armstrong-Ivory, Atri Manthani, AI CoE</t>
  </si>
  <si>
    <t>Six monitoring areas: response quality and accuracy (unanswered rate, low-confidence rate, hallucination indicators, citation accuracy, response consistency); usage and behavior; technical health (latency, error rate, uptime, throughput); safety and responsible AI; feedback signals; audit and traceability including sample-review pass rate.</t>
  </si>
  <si>
    <t>Issue monthly pilot monitoring summary</t>
  </si>
  <si>
    <t>Standing commitment to Leadership and the AI CoE until the production decision is made. Routine issues and recurring themes reviewed monthly in the AI Inventory review; priority or safety concerns escalated immediately.</t>
  </si>
  <si>
    <t>C43 - Leadership, AI CoE</t>
  </si>
  <si>
    <t>Operate the critical incident, sensitive exposure and reactivation process</t>
  </si>
  <si>
    <t>Tawanna Armstrong-Ivory, Atri Manthani, ESC</t>
  </si>
  <si>
    <t>Pause the chatbot in Copilot Studio, pull transcripts from Dataverse to establish scope, escalate to ESC the same day, notify affected users after containment, correct root cause, retest with a regression pass, obtain ESC sign-off before reactivation, and document the incident in the AI Inventory.</t>
  </si>
  <si>
    <t>C45, C46 - Pilot users, Leadership, ESC</t>
  </si>
  <si>
    <t>Production scope and financial planning review</t>
  </si>
  <si>
    <t>Tawanna Armstrong-Ivory, AI Program, Leadership</t>
  </si>
  <si>
    <t>Dedicated AI Program meeting before any production decision: intended scope and population, pilot monitoring results, financial capacity and licensing, support and governance capacity, and additional controls required. Movement to production is not automatic.</t>
  </si>
  <si>
    <t>C47 - AI Program, Leadership, ESC</t>
  </si>
  <si>
    <t>Coordinate Purview and CyberSecurity controls if production scope includes sensitive or regulated data</t>
  </si>
  <si>
    <t>Rajan Sharma, Peter Rodenberg, Tawanna Armstrong-Ivory</t>
  </si>
  <si>
    <t>Sensitivity labels, Information Protection, DLP and Insider Risk Management assessed against the production data sources, permissions, user population and risk profile. Pilot approval does not remove this requirement.</t>
  </si>
  <si>
    <t>Date</t>
  </si>
  <si>
    <t>Deliverables Due</t>
  </si>
  <si>
    <t>Analytics &amp; dashboard readiness</t>
  </si>
  <si>
    <t>Analytics Monitoring Plan draft; Communications Plan draft; adoption success metrics and thresholds locked; Copilot Dashboard (Viva Insights) access configured</t>
  </si>
  <si>
    <t>Training plan &amp; sign-up process finalized</t>
  </si>
  <si>
    <t>Roll Out Plan draft sized to ~5,606 E5 employees across a rolling multi-session schedule; training sign-up/attendance method finalized. F3 (field, ~1,801) out of scope for this phase</t>
  </si>
  <si>
    <t>Reinforcement infrastructure in place</t>
  </si>
  <si>
    <t>Pre, post, and 90-day survey question sets designed (complete 8/27); reinforcement activities scheduled (Prompt-a-thon, Great Copilot Journey). Surveys built and tested in Microsoft Forms by 9/11.</t>
  </si>
  <si>
    <t>Plans presented to ESC for final approval (first ESC meeting), including the revised multi-session, multi-month training schedule</t>
  </si>
  <si>
    <t>HR Chatbot: ESC approval of communication and testing plans</t>
  </si>
  <si>
    <t>Hard gate. No tester communication is issued before this approval.</t>
  </si>
  <si>
    <t>HR Chatbot: Microsoft training window complete</t>
  </si>
  <si>
    <t>Three standardized sessions delivered. Session 1 (Phase 1 and Phase 2) 9/28; Phase 3 Cohort A 10/27 and Cohort B 10/29 per ESC deck v1.24. Follow-ups and make-up options issued by 10/2.</t>
  </si>
  <si>
    <t>Soft launch: Cabinet presentation with Council</t>
  </si>
  <si>
    <t>Rationale for the rollout, logistics, the training plan and the Resource Hub. Follow-up email includes a Copilot link for preview. Data Leads meeting 10/8; Resource Hub page live and AppSpace posting begins 10/12.</t>
  </si>
  <si>
    <t>HR Chatbot: Phase 1 testing complete (15 named testers)</t>
  </si>
  <si>
    <t>Testing runs 10/5 to 10/16. Gate week 10/19-10/23: evaluate, remediate, retest, Leadership approval to provision Phase 2.</t>
  </si>
  <si>
    <t>Citywide launch - Copilot Basic link and getting-started basics provided; launch communication sent Friday 10/30 ahead of the 11/2-11/6 self-guided familiarization week. Date moved from 10/31 to 10/28 per Rollout Plan v1.9.</t>
  </si>
  <si>
    <t>Press release issued (external launch announcement)</t>
  </si>
  <si>
    <t>Proactive announcement of the citywide Copilot Basic rollout, owned by Marie Zickefoose. Must follow the 10/15 internal soft launch; coordinate with the Go-Live Announcement so internal lands first or together</t>
  </si>
  <si>
    <t>HR Chatbot: Phase 2 HR business testing complete (3 testers)</t>
  </si>
  <si>
    <t>Testing runs 10/19 to 10/30. Gate week 11/2-11/6: evaluate, remediate, retest, Leadership approval to provision Phase 3.</t>
  </si>
  <si>
    <t>Live training sessions begin</t>
  </si>
  <si>
    <t>Session 1 of six (11/9, 11/11, 11/13, 11/16, 11/18, 11/20), 1.5 hours each, three per week, delivered by Microsoft over Teams. Same curriculum repeated at every session. Champion Network recruitment begins.</t>
  </si>
  <si>
    <t>Citywide training delivery complete</t>
  </si>
  <si>
    <t>All six sessions delivered; ~5,606 E5 employees across General Fund, Utilities and Airports have had Copilot access and training offered. Wraps ahead of Thanksgiving per Renee Raffalli's direction. F3 (field, ~1,801) out of scope for this phase.</t>
  </si>
  <si>
    <t>HR Chatbot: Phase 3 Generalist testing complete (approximately 80 testers)</t>
  </si>
  <si>
    <t>Testing runs 11/2 to 11/13. All formal testing closes. Final gate 11/16-11/20 produces the pilot readiness recommendation.</t>
  </si>
  <si>
    <t>HR Chatbot: ESC review and pilot approval</t>
  </si>
  <si>
    <t>Week of 11/30. Pilot deployment begins only after ESC approval.</t>
  </si>
  <si>
    <t>HR Chatbot: pilot deployment (December 2026, after ESC approval)</t>
  </si>
  <si>
    <t>Controlled pilot with monitoring across quality, usage, technical health, responsible AI, feedback and audit. Monthly monitoring summary until the production decision.</t>
  </si>
  <si>
    <t>30-day interim adoption pulse</t>
  </si>
  <si>
    <t>Two-question mini-pulse (intent-to-use, remaining blocker) fielded 30 days after the final session; early warning on adoption decay.</t>
  </si>
  <si>
    <t>90-day follow-up survey fielded</t>
  </si>
  <si>
    <t>Realized usage measured against the pre-training baseline and post-training intent; drop-off diagnosis separates training, licensing, and policy gaps</t>
  </si>
  <si>
    <t>Consolidated survey findings to ESC/Cabinet</t>
  </si>
  <si>
    <t>Confidence lift across all four instruments, realized vs. intended usage, time saved, and ranked blockers scoping the intermediate-session decision</t>
  </si>
  <si>
    <t>Column key</t>
  </si>
  <si>
    <t>Comms Phase: maps each Project Plan line to the corresponding touchpoint in the Copilot Systems Launch Comms Roadmap and the HR Policy Chatbot Communication Plan v4.0. Values reference the touchpoint ID and audience (for example, C33 - Phase 3). Lines with no associated communication are marked 'n/a - not a comms task'.</t>
  </si>
  <si>
    <t>Key Risks &amp; Mitigations</t>
  </si>
  <si>
    <t>ID</t>
  </si>
  <si>
    <t>Risk</t>
  </si>
  <si>
    <t>Mitigation</t>
  </si>
  <si>
    <t>Likelihood</t>
  </si>
  <si>
    <t>Impact</t>
  </si>
  <si>
    <t>R1</t>
  </si>
  <si>
    <t>Compressed two-week delivery window (11/9-11/20) leaves no recovery room if sessions slip or attendance lags</t>
  </si>
  <si>
    <t>Six sessions repeat the same curriculum, so a missed session is recoverable within the window. Track attendance against the 5,606 target after each session and escalate at the 11/13 midpoint if pace is short; sessions are recorded, and the BizLibrary module plus Copilot Academy carry anyone who cannot attend live.</t>
  </si>
  <si>
    <t>Medium</t>
  </si>
  <si>
    <t>High</t>
  </si>
  <si>
    <t>R2</t>
  </si>
  <si>
    <t>First-comms clarity on how to actually use the tool</t>
  </si>
  <si>
    <t>Copilot Basic Chat is a simple rollout and many employees are already familiar with chat AI personally, so a logistics dry-run is not required. The real exposure is the first communication: if it does not clearly show employees how to reach the tool and what to try first, early momentum is lost before training begins. Make the launch comms tight and concrete - the Copilot Basic link, first-use steps, and a handful of try-this-today prompts - paired with the Quick Reference and Hub content.</t>
  </si>
  <si>
    <t>R3</t>
  </si>
  <si>
    <t>Reinforcement under-investment</t>
  </si>
  <si>
    <t>Employees revert to public AI tools once training ends if reinforcement is not sustained. Resource Office Hours, the Champion Network, Prompt-a-thon and the Great Copilot Journey as ongoing commitments, not one-off events. Gemini is not in scope for the crawl phase - no one will have access. Placeholder to watch: there have been discussions about disabling Copilot Chat; not confirmed. If that advances it materially changes both the reinforcement plan and the rollout itself, so track it and confirm status before 9/11.</t>
  </si>
  <si>
    <t>R4</t>
  </si>
  <si>
    <t>Regulated-data exposure</t>
  </si>
  <si>
    <t>PHI or CJIS-regulated data could reach Copilot before a BAA/CJIS Addendum is signed. Treat BAA/CJIS confirmation as a hard blocking gate - no session content or access assumes regulated-data readiness until written confirmation is issued. Closed for Copilot Basic on 9/10/26 per D8: data remains in tenant, no BAA or CJIS addendum required. Residual exposure is limited to the HR Chatbot grounded content, tracked at R14 and D16.</t>
  </si>
  <si>
    <t>Low</t>
  </si>
  <si>
    <t>R5</t>
  </si>
  <si>
    <t>Metric drift</t>
  </si>
  <si>
    <t>Redefining metrics mid-rollout makes progress unprovable to the ESC. Lock metric definitions in writing before the 9/11 ESC presentation; any change to definitions requires ESC notification, not silent revision.</t>
  </si>
  <si>
    <t>R6</t>
  </si>
  <si>
    <t>Undecided open items</t>
  </si>
  <si>
    <t>Public-LLM policy and new-hire orientation approach remain open decisions. Resolve both before 9/11, or explicitly present them to ESC as named open risks with a target resolution date.</t>
  </si>
  <si>
    <t>R7</t>
  </si>
  <si>
    <t>Monitoring and audit expectations for Copilot Basic</t>
  </si>
  <si>
    <t>Confirmed 8/28 and re-confirmed with Rajan Sharma (CyberSecurity) that Purview is not required for the Copilot Basic rollout; all Purview, DSPM and Communication Compliance tasks were removed from the plan on that basis. Monitoring runs through the Copilot Dashboard (Viva Insights) and M365 Admin Center reporting, with Microsoft Defender for Cloud Apps covering data movement to outside AI tools. Rajan also requested a CyberSecurity test run of Copilot Basic before the 10/15 soft launch, tracked as a Phase 1 task. Keep the expectation accurate in ESC materials and media lines: usage and adoption are measured, prompt- and response-level content is not. Revisit if scope expands beyond Copilot Basic Chat or regulated-data use cases are introduced. Purview remains a conditional production-readiness requirement for the HR Policy Chatbot if its production scope includes sensitive or regulated data.</t>
  </si>
  <si>
    <t>R8</t>
  </si>
  <si>
    <t>No usage/adoption reporting mechanism in place</t>
  </si>
  <si>
    <t>Copilot Basic reporting is not yet activated. Without it there is no usage or adoption data and the metrics committed to ESC cannot be produced. Preferred route is a Microsoft O365 reporting connection, which avoids the 50-license purchase and its training dependency; licensing 50 users remains the fallback. Confirm the route with Microsoft and DC Faranak before 9/11 so thresholds are locked against what can be measured.</t>
  </si>
  <si>
    <t>R9</t>
  </si>
  <si>
    <t>HR Chatbot: testers assume training completion grants chatbot access</t>
  </si>
  <si>
    <t>State the separation in the onboarding email, in every training follow-up and in each provisioning notice. Security-group membership and licensing are activated only when the phase is formally authorized.</t>
  </si>
  <si>
    <t>R10</t>
  </si>
  <si>
    <t>HR Chatbot: the 9/11 ESC approval slips, compressing onboarding against a 9/14 training start</t>
  </si>
  <si>
    <t>C3, C4 and C5 are held until after ESC approval. Escalate the same day if approval moves; if it slips past 9/11, training invitations and the Microsoft window move with it rather than sending tester communication ahead of approval.</t>
  </si>
  <si>
    <t>R11</t>
  </si>
  <si>
    <t>HR Chatbot: approximately 80 Generalists provisioned at once creates an access support spike</t>
  </si>
  <si>
    <t>Provisioning and the service desk brief both land 11/6 for a 11/9 start, with a triage script and FAQ in hand and a weekly service desk sync through Phase 3.</t>
  </si>
  <si>
    <t>R12</t>
  </si>
  <si>
    <t>HR Chatbot: Phase 3 waits six weeks between training and testing and forgets the method</t>
  </si>
  <si>
    <t>The Phase 3 opening notice restates the full testing and logging method rather than assuming recall, and links the materials and session recording.</t>
  </si>
  <si>
    <t>R13</t>
  </si>
  <si>
    <t>HR Chatbot: Leadership or the ESC reads phase completion as approval</t>
  </si>
  <si>
    <t>Gate language in every communication; the acceptance criteria table leads every results summary. A phase advances only after evaluation, remediation, retest and the required approval.</t>
  </si>
  <si>
    <t>R14</t>
  </si>
  <si>
    <t>HR Chatbot: regulated data reaches the chatbot before HIPAA coverage is confirmed for its own stack</t>
  </si>
  <si>
    <t>HR policy content can include FMLA, ADA accommodation, medical leave and benefits material. The Copilot Basic BAA/CJIS confirmation does not cover Copilot Studio or Dataverse transcript storage. Inventory the grounded sources before Phase 1 opens and confirm coverage with CyberSecurity before pilot, not at the production gate.</t>
  </si>
  <si>
    <t>R15</t>
  </si>
  <si>
    <t>Sustainment path breaks: BizLibrary retiring leaves recordings and the onboarding module without a home</t>
  </si>
  <si>
    <t>Closed 9/15/26: the Resource Hub replaces BizLibrary for the new-hire recording and the Do’s and Don’ts (D17, D5). Remaining action is to confirm Hub retention and access settings before recording begins 11/9.</t>
  </si>
  <si>
    <t>Open Decisions</t>
  </si>
  <si>
    <t>Target Resolution</t>
  </si>
  <si>
    <t>D1</t>
  </si>
  <si>
    <t>Confirmed session capacity and cadence for ~7,407 employees</t>
  </si>
  <si>
    <t>Resolved 9/4</t>
  </si>
  <si>
    <t>Resolved: six Microsoft-delivered sessions of 1.5 hours each, three per week across 11/9-11/20, open enrollment with no attendance cap. Same curriculum at every session.</t>
  </si>
  <si>
    <t>D2</t>
  </si>
  <si>
    <t>Registration model for virtual E5 sessions</t>
  </si>
  <si>
    <t>Resolved 8/27</t>
  </si>
  <si>
    <t>Resolved: no registration required of employees. Sessions are delivered as Webinar in Teams rather than a standard Teams meeting, chosen for capacity at the 5,606-employee scale. The Copilot Basic link and session links go out through the comms plan. Attendance is captured from the Teams report and serves as the adoption-tracking roster. Open mechanic to confirm with Brad Beran: which report the webinar format produces and that it carries name and work email, since that export feeds the cumulative attendance count and the adoption metrics.</t>
  </si>
  <si>
    <t>D3</t>
  </si>
  <si>
    <t>Training strategy - department-based vs. open enrollment</t>
  </si>
  <si>
    <t>Resolved: open enrollment. Employees self-select into any of the six sessions rather than being scheduled by department; attendance is tracked from the Teams attendance report against the 5,606 target.</t>
  </si>
  <si>
    <t>D4</t>
  </si>
  <si>
    <t>Plan to address public LLM use</t>
  </si>
  <si>
    <t>We will offer a recommendation to ESC on 9/11 meeting. Presented to ESC 9/11/26. Doug Meil is taking the lead on the recommendation. Tawanna developed a draft that transfers to Doug as the starting point. Confirm the target date for his recommendation back to the ESC. Update 9/15/26: Doug Meil is leading the policy recommendations. A draft has been placed in the folder, using Boston as the example. A target schedule was provided on the ESC call, ahead of the 10/6 rollout to Cabinet.</t>
  </si>
  <si>
    <t>D5</t>
  </si>
  <si>
    <t>New-hire orientation approach for Copilot</t>
  </si>
  <si>
    <t>Resolved 9/15</t>
  </si>
  <si>
    <t>With training now spanning 3-4+ months on a rolling basis, new hires may be able to join the next scheduled session rather than needing a fully separate path - confirm approach. Discussed at ESC 9/11/26. Direction is to handle new hires through an on-demand approach, likely a recording, rather than a separate live session path. Confirm the format, where it is hosted, and who owns production. Resolved 9/15/26. Three components: a recording on the Resource Hub for new hires, Copilot Basic installed on new-hire computers, and the Do’s and Don’ts displayed on the Hub. No separate live session path for new hires.</t>
  </si>
  <si>
    <t>D6</t>
  </si>
  <si>
    <t>Adoption success metrics and thresholds</t>
  </si>
  <si>
    <t>Resolved and locked for ESC: Training Reach 5,606; Retention 50% of new users returning within 30 days; Habitual Use 30% of users active at least three distinct days per week; Sustained Use 50% of trained employees using Copilot weekly at 90 days; Capability measured as confidence lift pre, post and at 90 days.</t>
  </si>
  <si>
    <t>D7</t>
  </si>
  <si>
    <t>Week-over-week retention threshold</t>
  </si>
  <si>
    <t>Resolved: retention threshold set at 50% of new Copilot users returning and using it again within 30 days, per the Measures of Success slide presented to ESC.</t>
  </si>
  <si>
    <t>D8</t>
  </si>
  <si>
    <t>HIPAA BAA / CJIS Security Addendum status</t>
  </si>
  <si>
    <t>Resolved 9/10</t>
  </si>
  <si>
    <t>Required before any regulated-data content is included; tracked until written confirmation is issued. Resolved 9/10/26 with Rajan Sharma: no HIPAA BAA or CJIS Security Addendum is required for Copilot Basic. Data stays within the tenant and is not made public. This resolution covers Copilot Basic only. D16, whether a separate HIPAA determination is required for the HR Policy Chatbot grounded content, remains open pending the content inventory.</t>
  </si>
  <si>
    <t>D9</t>
  </si>
  <si>
    <t>Survey anonymity vs. matched pre/post analysis</t>
  </si>
  <si>
    <t>Resolved: surveys are fully anonymous - session date only, no name, email, or code. Accepted trade-off: confidence and familiarity lift are reported as aggregate group results, not matched pairs. Residual risk to manage in reporting: pre-survey respondents (invited) and post-survey respondents (attended) are not the same population, and the post group skews toward the more engaged, which can overstate lift. Mitigation: report n for each instrument, break results out by session date, and state the aggregate-not-matched limitation plainly in ESC materials. Anonymity was prioritized to protect candor on the blocker and acceptable-use questions.</t>
  </si>
  <si>
    <t>D10</t>
  </si>
  <si>
    <t>Delivery platform - Zoom vs. Microsoft Teams</t>
  </si>
  <si>
    <t>Resolved 8/28</t>
  </si>
  <si>
    <t>2026-09-11</t>
  </si>
  <si>
    <t>Resolved: sessions are delivered by Microsoft as Webinar in Teams under the Unified Contract, consistent with the Roll Out Plan. The webinar format was selected for capacity across the 5,606 E5 population and removes attendance-cap constraints. Attendance is captured from the Teams report.</t>
  </si>
  <si>
    <t>D11</t>
  </si>
  <si>
    <t>Comms message distribution owner</t>
  </si>
  <si>
    <t>Resolved: Comms distributes; Renee and Liz approve all launch messaging before send. Design remains with Vikki Pickett, message development with Tawanna and Atri. Tracked as a Phase 0 task with an approval workflow. Remaining item: agree an approval turnaround time, since session invites and survey pushes are date-driven and a slow approval loop delays the send rather than the drafting.</t>
  </si>
  <si>
    <t>D12</t>
  </si>
  <si>
    <t>Copilot Basic reporting access route</t>
  </si>
  <si>
    <t>Open - critical</t>
  </si>
  <si>
    <t>Microsoft O365 reporting connection (preferred; no purchase, no training dependency) vs. licensing 50 users to activate Admin Center reporting (cost plus a Microsoft training requirement). Work with Microsoft is underway. Blocks all adoption metrics; must be settled before thresholds are locked at the 9/11 ESC.</t>
  </si>
  <si>
    <t>D13</t>
  </si>
  <si>
    <t>HR Chatbot: Phase 3 Generalist roster from Dustin Hargis</t>
  </si>
  <si>
    <t>Roughly 80 names needed to seat Cohort B in the 9/21-9/25 training window and to build the Phase 3 provisioning wave. Update 9/8: meeting scheduled with Dustin Hargis on 9/9, with Tawanna and Atri Manthani, to obtain the roster. Onboarding for Phase 3 is triggered by roster receipt, not a fixed date, so a late roster compresses training and access. Resolved 9/15/26: roster of approximately 80 Generalists obtained from Dustin Hargis.</t>
  </si>
  <si>
    <t>D14</t>
  </si>
  <si>
    <t>HR Chatbot: security group naming and governance for post-phase access</t>
  </si>
  <si>
    <t>Folded into task</t>
  </si>
  <si>
    <t>Working name "HR Policy Chatbot - Testing Access", subject to City naming standards. Also confirm whether completed-phase testers retain access for remediation and retest or are removed, and whether licenses are reclaimed or reassigned after each phase sign-off. Still in progress as of 9/14/26. Pending a Microsoft call to walk through the setup, including reporting. Tawanna to follow up with Microsoft to schedule. Closed as a separate decision 9/15/26: the security group naming and governance question is carried entirely by the Microsoft review meeting task (Phase, HR Chatbot Readiness) and its dependent lines. Track it there.</t>
  </si>
  <si>
    <t>D15</t>
  </si>
  <si>
    <t>HR Chatbot: license type and capacity for testing</t>
  </si>
  <si>
    <t>Confirm with Microsoft and DC Faranak the license type required for chatbot testing, available capacity for 98 testers across three waves, and the validation step before each phase opens. Provisioning is phase-based and independent of training completion. Still in progress as of 9/14/26. Waiting on the same Microsoft call as D14 to walk through license type and capacity. Tawanna emailing Eli 9/14/26 to schedule. Closed as a separate decision 9/15/26: the license type and capacity question is carried entirely by the Microsoft review meeting task (Phase, HR Chatbot Readiness) and its dependent lines. Track it there.</t>
  </si>
  <si>
    <t>D16</t>
  </si>
  <si>
    <t>HR Chatbot: whether a separate HIPAA determination is required for Copilot Studio and Dataverse</t>
  </si>
  <si>
    <t>Open</t>
  </si>
  <si>
    <t>Determined by the grounded content inventory. If the HR policy sources include employee health information, HIPAA coverage must be confirmed for the chatbot stack independently of the Copilot Basic agreements, and it becomes a hard gate before pilot deployment. Tawanna is confirming with Rajan Sharma.</t>
  </si>
  <si>
    <t>D17</t>
  </si>
  <si>
    <t>Replacement host for session recordings and the Copilot Basic onboarding module (BizLibrary retiring)</t>
  </si>
  <si>
    <t>BizLibrary is going away as the source for documents, so the recording, onboarding module and annual refresh lines in the plan no longer have a destination. Decide the replacement (SharePoint or the AI Teams site, Viva Learning, Stream, or the Resource Hub) before recording begins on 11/9, because the consent language on the session recording line names where recordings are stored and who can access them. Also confirm who owns the new-hire onboarding path in the replacement system, which connects to D5. Resolved 9/15/26: the Resource Hub replaces BizLibrary as the destination for the new-hire recording and the Do’s and Don’ts. Consent language on the session recording line should now name the Hub. Confirm Hub retention and access settings before recording begins 11/9.</t>
  </si>
  <si>
    <t>Metric</t>
  </si>
  <si>
    <t>Source</t>
  </si>
  <si>
    <t>What It Shows</t>
  </si>
  <si>
    <t>Target / Threshold</t>
  </si>
  <si>
    <t>Reporting Frequency</t>
  </si>
  <si>
    <t>Active User Rate (Active/Enabled)</t>
  </si>
  <si>
    <t>Admin Center Usage report</t>
  </si>
  <si>
    <t>Whether licensed employees actually open the tool</t>
  </si>
  <si>
    <t>Training Reach: all six sessions delivered against the 5,606 E5 target. Active-user baseline established after Session 1.</t>
  </si>
  <si>
    <t>Weekly during rollout; monthly post-launch</t>
  </si>
  <si>
    <t>DAU / WAU</t>
  </si>
  <si>
    <t>Copilot Chat usage dashboard</t>
  </si>
  <si>
    <t>Whether usage is habitual, not one-time</t>
  </si>
  <si>
    <t>Habitual Use: 30% of users active at least three distinct days per week. Locked for ESC 9/4/26.</t>
  </si>
  <si>
    <t>Weekly</t>
  </si>
  <si>
    <t>Prompts per user</t>
  </si>
  <si>
    <t>Admin Center</t>
  </si>
  <si>
    <t>Depth of engagement</t>
  </si>
  <si>
    <t>Baseline after the first session, then track growth through the remaining sessions and beyond</t>
  </si>
  <si>
    <t>Monthly</t>
  </si>
  <si>
    <t>Week-over-week retention</t>
  </si>
  <si>
    <t>Copilot Dashboard</t>
  </si>
  <si>
    <t>Whether usage survives past the training spike</t>
  </si>
  <si>
    <t>Retention: 50% of new Copilot users return and use it again within 30 days. Locked for ESC 9/4/26.</t>
  </si>
  <si>
    <t>Agent adoption (Researcher/Analyst/Facilitator)</t>
  </si>
  <si>
    <t>Agent usage report</t>
  </si>
  <si>
    <t>Whether employees go beyond basic chat</t>
  </si>
  <si>
    <t>Track % of active users who have used a built-in agent at least once; grow steadily session over session</t>
  </si>
  <si>
    <t>Training completion / competency-check pass rate</t>
  </si>
  <si>
    <t>Viva Learning + Part 5 checklist</t>
  </si>
  <si>
    <t>Whether skills, not just access, were delivered</t>
  </si>
  <si>
    <t>100% of trained employees either clear the five-item competency checklist or are flagged to their Champion for follow-up</t>
  </si>
  <si>
    <t>Per session</t>
  </si>
  <si>
    <t>Sessions delivered vs. target</t>
  </si>
  <si>
    <t>Training Capacity Plan tab</t>
  </si>
  <si>
    <t>Whether the rolling delivery schedule is on pace to reach ~7,407 employees within the planned window</t>
  </si>
  <si>
    <t>Six sessions delivered across 11/9-11/20 to ~5,606 E5 employees; on or ahead of the three-per-week cadence on the Training Capacity Plan tab.</t>
  </si>
  <si>
    <t>Note: Metric definitions were locked 9/4/26 ahead of the 9/11 ESC presentation and are reported against the same definitions every cycle. Sustained Use (50% of trained employees using Copilot weekly at 90 days) and Capability (confidence lift pre, post and at 90 days) are reported from the pulse survey cycle and the Copilot Dashboard together.</t>
  </si>
  <si>
    <t>Communication</t>
  </si>
  <si>
    <t>Audience</t>
  </si>
  <si>
    <t>Channel</t>
  </si>
  <si>
    <t>C1</t>
  </si>
  <si>
    <t>Sep. 4</t>
  </si>
  <si>
    <t>Audit workflow validated; testing and audit process confirmed operational</t>
  </si>
  <si>
    <t>Project team, Leadership</t>
  </si>
  <si>
    <t>Email note</t>
  </si>
  <si>
    <t>C2</t>
  </si>
  <si>
    <t>Sep. 8</t>
  </si>
  <si>
    <t>Microsoft review meeting agenda and materials</t>
  </si>
  <si>
    <t>Microsoft, project team</t>
  </si>
  <si>
    <t>Calendar invite plus agenda</t>
  </si>
  <si>
    <t>C2a</t>
  </si>
  <si>
    <t>Sep. 11</t>
  </si>
  <si>
    <t>ESC update: testing approach, communication plan, approval request</t>
  </si>
  <si>
    <t>ESC</t>
  </si>
  <si>
    <t>Meeting plus written summary</t>
  </si>
  <si>
    <t>C3</t>
  </si>
  <si>
    <t>Sep. 11, after ESC approval</t>
  </si>
  <si>
    <t>Supervisor notification: who is testing, which phase, time commitment</t>
  </si>
  <si>
    <t>Supervisors</t>
  </si>
  <si>
    <t>Email</t>
  </si>
  <si>
    <t>C4</t>
  </si>
  <si>
    <t>Standardized tester onboarding email</t>
  </si>
  <si>
    <t>Phase 1 (15), Phase 2 (3)</t>
  </si>
  <si>
    <t>C5</t>
  </si>
  <si>
    <t>Sep. 11-12, after ESC approval</t>
  </si>
  <si>
    <t>Microsoft training session invitations with cohort assignment</t>
  </si>
  <si>
    <t>Phase 1, Phase 2, Phase 3 Cohort A</t>
  </si>
  <si>
    <t>Calendar invite</t>
  </si>
  <si>
    <t>C6</t>
  </si>
  <si>
    <t>On roster receipt, not before ESC approval</t>
  </si>
  <si>
    <t>Identical standardized onboarding email plus Cohort B training invitation</t>
  </si>
  <si>
    <t>Approximately 80 Generalists</t>
  </si>
  <si>
    <t>Email plus calendar invite</t>
  </si>
  <si>
    <t>Tawanna Armstrong-Ivory with Dustin Hargis</t>
  </si>
  <si>
    <t>C7</t>
  </si>
  <si>
    <t>Sep. 14</t>
  </si>
  <si>
    <t>Session 1 reminder and pre-read</t>
  </si>
  <si>
    <t>Phase 1 plus Phase 2</t>
  </si>
  <si>
    <t>C8</t>
  </si>
  <si>
    <t>Sep. 16-18</t>
  </si>
  <si>
    <t>Session 2 reminder and pre-read</t>
  </si>
  <si>
    <t>Phase 3 Cohort A</t>
  </si>
  <si>
    <t>C9</t>
  </si>
  <si>
    <t>Sep. 21-23</t>
  </si>
  <si>
    <t>Session 3 reminder and pre-read</t>
  </si>
  <si>
    <t>Phase 3 Cohort B</t>
  </si>
  <si>
    <t>C10</t>
  </si>
  <si>
    <t>Sep. 18 and Sep. 25</t>
  </si>
  <si>
    <t>Post-session follow-up: recording, materials, next steps, access separation restated</t>
  </si>
  <si>
    <t>Each session attendees</t>
  </si>
  <si>
    <t>C11</t>
  </si>
  <si>
    <t>Sep. 24</t>
  </si>
  <si>
    <t>Non-attendee follow-up and make-up options</t>
  </si>
  <si>
    <t>Any tester who missed a session</t>
  </si>
  <si>
    <t>C12</t>
  </si>
  <si>
    <t>Sep. 25</t>
  </si>
  <si>
    <t>Training window complete; readiness tracked; provisioning is phase-based</t>
  </si>
  <si>
    <t>All testers</t>
  </si>
  <si>
    <t>C13</t>
  </si>
  <si>
    <t>Phase 1 provisioning confirmed: security group active, license assigned</t>
  </si>
  <si>
    <t>15 Phase 1 testers</t>
  </si>
  <si>
    <t>Atri Manthani with DC Faranak Arab, Rajan Sharma, Peter Rodenberg</t>
  </si>
  <si>
    <t>C14</t>
  </si>
  <si>
    <t>Sep. 28</t>
  </si>
  <si>
    <t>Phase 1 testing is open; assigned questions; how to log results</t>
  </si>
  <si>
    <t>Email plus Teams post</t>
  </si>
  <si>
    <t>C15</t>
  </si>
  <si>
    <t>Oct. 2</t>
  </si>
  <si>
    <t>Week 1 pulse: submissions to date, themes, coverage gaps</t>
  </si>
  <si>
    <t>Phase 1</t>
  </si>
  <si>
    <t>Teams post</t>
  </si>
  <si>
    <t>C16</t>
  </si>
  <si>
    <t>Oct. 7</t>
  </si>
  <si>
    <t>Deadline reminder; all results due Oct. 9</t>
  </si>
  <si>
    <t>C17</t>
  </si>
  <si>
    <t>Oct. 9</t>
  </si>
  <si>
    <t>Phase 1 close; what the gate week involves</t>
  </si>
  <si>
    <t>C18</t>
  </si>
  <si>
    <t>Oct. 13</t>
  </si>
  <si>
    <t>Retest confirmation requests to Phase 1 issue submitters</t>
  </si>
  <si>
    <t>Phase 1 subset</t>
  </si>
  <si>
    <t>C19</t>
  </si>
  <si>
    <t>Oct. 15</t>
  </si>
  <si>
    <t>Phase 1 results and Phase 2 readiness summary; approval request</t>
  </si>
  <si>
    <t>Leadership</t>
  </si>
  <si>
    <t>Written summary plus meeting</t>
  </si>
  <si>
    <t>C20</t>
  </si>
  <si>
    <t>Oct. 16</t>
  </si>
  <si>
    <t>Approval decision communicated</t>
  </si>
  <si>
    <t>Phase 1, Phase 2</t>
  </si>
  <si>
    <t>C21</t>
  </si>
  <si>
    <t>Phase 2 provisioning confirmed: security group activated, licenses assigned</t>
  </si>
  <si>
    <t>3 Phase 2 testers</t>
  </si>
  <si>
    <t>C22</t>
  </si>
  <si>
    <t>Oct. 19</t>
  </si>
  <si>
    <t>Phase 2 testing is open; business scenario focus; what changed since Phase 1</t>
  </si>
  <si>
    <t>C23</t>
  </si>
  <si>
    <t>Oct. 23</t>
  </si>
  <si>
    <t>Week 1 check-in</t>
  </si>
  <si>
    <t>Phase 2</t>
  </si>
  <si>
    <t>Email or brief call</t>
  </si>
  <si>
    <t>C24</t>
  </si>
  <si>
    <t>Oct. 28</t>
  </si>
  <si>
    <t>Deadline reminder; results due Oct. 30</t>
  </si>
  <si>
    <t>C25</t>
  </si>
  <si>
    <t>Oct. 30</t>
  </si>
  <si>
    <t>Phase 2 close and thank you</t>
  </si>
  <si>
    <t>C26</t>
  </si>
  <si>
    <t>Nov. 3</t>
  </si>
  <si>
    <t>Retest confirmation requests to Phase 2 issue submitters</t>
  </si>
  <si>
    <t>C27</t>
  </si>
  <si>
    <t>Phase 3 roster reconciliation against the training and access tracker</t>
  </si>
  <si>
    <t>Dustin Hargis, Atri Manthani</t>
  </si>
  <si>
    <t>Working session</t>
  </si>
  <si>
    <t>C28</t>
  </si>
  <si>
    <t>Nov. 5</t>
  </si>
  <si>
    <t>Phase 2 results and Phase 3 readiness summary; approval request</t>
  </si>
  <si>
    <t>C29</t>
  </si>
  <si>
    <t>Nov. 6</t>
  </si>
  <si>
    <t>Phase 2, Phase 3</t>
  </si>
  <si>
    <t>C30</t>
  </si>
  <si>
    <t>Phase 3 provisioning confirmed: security group activated, licenses assigned</t>
  </si>
  <si>
    <t>C31</t>
  </si>
  <si>
    <t>Service desk brief: Phase 3 opens Monday; expect access and license questions</t>
  </si>
  <si>
    <t>Service desk</t>
  </si>
  <si>
    <t>Internal brief plus FAQ</t>
  </si>
  <si>
    <t>C31a</t>
  </si>
  <si>
    <t>Cabinet FYI: what the chatbot does, that it is in governed testing</t>
  </si>
  <si>
    <t>Cabinet</t>
  </si>
  <si>
    <t>One page</t>
  </si>
  <si>
    <t>Renee Raffalli, prepared by Tawanna Armstrong-Ivory</t>
  </si>
  <si>
    <t>C31b</t>
  </si>
  <si>
    <t>HR leadership FYI: what the chatbot answers, that it is in governed testing</t>
  </si>
  <si>
    <t>HR leadership</t>
  </si>
  <si>
    <t>C32</t>
  </si>
  <si>
    <t>Nov. 9</t>
  </si>
  <si>
    <t>Phase 3 testing is open; how to log results; where to get help</t>
  </si>
  <si>
    <t>C33</t>
  </si>
  <si>
    <t>Nov. 13</t>
  </si>
  <si>
    <t>Week 1 pulse: participation rate, themes, coverage gaps to target</t>
  </si>
  <si>
    <t>Phase 3</t>
  </si>
  <si>
    <t>Teams post plus email</t>
  </si>
  <si>
    <t>C34</t>
  </si>
  <si>
    <t>Nov. 18</t>
  </si>
  <si>
    <t>Deadline reminder; results due Nov. 20</t>
  </si>
  <si>
    <t>C35</t>
  </si>
  <si>
    <t>Nov. 20</t>
  </si>
  <si>
    <t>Phase 3 close; all formal testing complete</t>
  </si>
  <si>
    <t>All 98 testers</t>
  </si>
  <si>
    <t>C36</t>
  </si>
  <si>
    <t>Nov. 23-25</t>
  </si>
  <si>
    <t>Final remediation and retest confirmation requests</t>
  </si>
  <si>
    <t>Issue submitters, all phases</t>
  </si>
  <si>
    <t>C37</t>
  </si>
  <si>
    <t>Nov. 25</t>
  </si>
  <si>
    <t>Access disposition notice: who retains testing access for remediation</t>
  </si>
  <si>
    <t>C38</t>
  </si>
  <si>
    <t>Nov. 26</t>
  </si>
  <si>
    <t>Pilot readiness summary; notice that the ESC package is going forward</t>
  </si>
  <si>
    <t>Written summary</t>
  </si>
  <si>
    <t>C39</t>
  </si>
  <si>
    <t>Week of Nov. 30</t>
  </si>
  <si>
    <t>Consolidated three-phase results and pilot approval request</t>
  </si>
  <si>
    <t>Deck plus memo, presented live</t>
  </si>
  <si>
    <t>C40</t>
  </si>
  <si>
    <t>Within 3 days of the ESC decision</t>
  </si>
  <si>
    <t>Decision communicated; what changes for each cohort</t>
  </si>
  <si>
    <t>All 98 testers, supervisors</t>
  </si>
  <si>
    <t>C40a</t>
  </si>
  <si>
    <t>After the ESC decision, before pilot access</t>
  </si>
  <si>
    <t>Cabinet results briefing: what was tested, results against acceptance criteria</t>
  </si>
  <si>
    <t>Short briefing plus two-page summary</t>
  </si>
  <si>
    <t>C40b</t>
  </si>
  <si>
    <t>HR leadership results briefing</t>
  </si>
  <si>
    <t>C41</t>
  </si>
  <si>
    <t>December 2026</t>
  </si>
  <si>
    <t>Pilot onboarding: access, expectations, how to report an issue, support</t>
  </si>
  <si>
    <t>Approved pilot group</t>
  </si>
  <si>
    <t>Email plus training</t>
  </si>
  <si>
    <t>C42</t>
  </si>
  <si>
    <t>Pilot start</t>
  </si>
  <si>
    <t>Issue reporting path published: chatbot-provided Form link and Hub page</t>
  </si>
  <si>
    <t>Pilot users</t>
  </si>
  <si>
    <t>Chatbot message plus Hub page</t>
  </si>
  <si>
    <t>C43</t>
  </si>
  <si>
    <t>Monthly during pilot</t>
  </si>
  <si>
    <t>Pilot monitoring summary: quality, usage, technical health, responsible AI</t>
  </si>
  <si>
    <t>Leadership, AI CoE</t>
  </si>
  <si>
    <t>C44</t>
  </si>
  <si>
    <t>On resolution</t>
  </si>
  <si>
    <t>Outcome communicated back to the user who reported the issue</t>
  </si>
  <si>
    <t>Individual reporter</t>
  </si>
  <si>
    <t>Email or Teams</t>
  </si>
  <si>
    <t>Atri Manthani; Tawanna Armstrong-Ivory on policy content issues</t>
  </si>
  <si>
    <t>C45</t>
  </si>
  <si>
    <t>On incident</t>
  </si>
  <si>
    <t>Incident notification and pause notice</t>
  </si>
  <si>
    <t>Pilot users, Leadership, ESC</t>
  </si>
  <si>
    <t>Email plus Teams channel</t>
  </si>
  <si>
    <t>C46</t>
  </si>
  <si>
    <t>On ESC sign-off</t>
  </si>
  <si>
    <t>Reactivation notice: what happened, what was fixed, what was retested</t>
  </si>
  <si>
    <t>C47</t>
  </si>
  <si>
    <t>Before any production decision</t>
  </si>
  <si>
    <t>Production scope and financial planning readout</t>
  </si>
  <si>
    <t>AI Program, Leadership, 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</si>
</sst>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dd/yyyy"/>
    <numFmt numFmtId="165" formatCode="0.0"/>
    <numFmt numFmtId="166" formatCode="yyyy\-mm\-dd\ h:mm:ss"/>
  </numFmts>
  <fonts count="25">
    <font>
      <sz val="11"/>
      <color theme="1"/>
      <name val="Calibri"/>
      <family val="2"/>
      <charset val="1"/>
    </font>
    <font>
      <b/>
      <sz val="14"/>
      <color rgb="FF213D7A"/>
      <name val="Cambria"/>
      <charset val="1"/>
    </font>
    <font>
      <i/>
      <sz val="9"/>
      <color rgb="FF595959"/>
      <name val="Calibri"/>
      <charset val="1"/>
    </font>
    <font>
      <b/>
      <sz val="11"/>
      <color rgb="FFFFFFFF"/>
      <name val="Calibri"/>
      <charset val="1"/>
    </font>
    <font>
      <b/>
      <sz val="10"/>
      <color rgb="FF213D7A"/>
      <name val="Calibri"/>
      <charset val="1"/>
    </font>
    <font>
      <b/>
      <sz val="11"/>
      <color rgb="FF213D7A"/>
      <name val="Calibri"/>
      <charset val="1"/>
    </font>
    <font>
      <sz val="10"/>
      <color rgb="FF333333"/>
      <name val="Calibri"/>
      <charset val="1"/>
    </font>
    <font>
      <sz val="10"/>
      <name val="Calibri"/>
      <charset val="1"/>
    </font>
    <font>
      <sz val="10"/>
      <color rgb="FF0000FF"/>
      <name val="Calibri"/>
      <charset val="1"/>
    </font>
    <font>
      <b/>
      <sz val="10"/>
      <name val="Calibri"/>
      <charset val="1"/>
    </font>
    <font>
      <i/>
      <sz val="10"/>
      <color rgb="FF595959"/>
      <name val="Calibri"/>
      <charset val="1"/>
    </font>
    <font>
      <i/>
      <sz val="10"/>
      <color rgb="FF808080"/>
      <name val="Calibri"/>
      <charset val="1"/>
    </font>
    <font>
      <b/>
      <sz val="10"/>
      <color rgb="FF808080"/>
      <name val="Calibri"/>
      <charset val="1"/>
    </font>
    <font>
      <sz val="10"/>
      <color theme="1"/>
      <name val="Calibri"/>
      <charset val="1"/>
    </font>
    <font>
      <b/>
      <sz val="10"/>
      <color rgb="FF6B5410"/>
      <name val="Calibri"/>
      <charset val="1"/>
    </font>
    <font>
      <sz val="10"/>
      <color rgb="FF000000"/>
      <name val="Calibri"/>
      <charset val="1"/>
    </font>
    <font>
      <b/>
      <sz val="10"/>
      <color rgb="FF008000"/>
      <name val="Calibri"/>
      <charset val="1"/>
    </font>
    <font>
      <b/>
      <sz val="10"/>
      <color rgb="FF2E7D7B"/>
      <name val="Calibri"/>
      <charset val="1"/>
    </font>
    <font>
      <sz val="10"/>
      <name val="Arial"/>
      <family val="2"/>
    </font>
    <font>
      <sz val="10"/>
      <color rgb="FF008000"/>
      <name val="Calibri"/>
      <charset val="1"/>
    </font>
    <font>
      <b/>
      <sz val="12"/>
      <color rgb="FF213D7A"/>
      <name val="Cambria"/>
      <charset val="1"/>
    </font>
    <font>
      <b/>
      <sz val="10"/>
      <color rgb="FF7A5E10"/>
      <name val="Calibri"/>
      <charset val="1"/>
    </font>
    <font>
      <b/>
      <sz val="10"/>
      <color rgb="FF1F5A58"/>
      <name val="Calibri"/>
      <charset val="1"/>
    </font>
    <font>
      <b/>
      <sz val="10"/>
      <color rgb="FF9C6500"/>
      <name val="Calibri"/>
      <charset val="1"/>
    </font>
    <font>
      <b/>
      <sz val="10"/>
      <color rgb="FF595959"/>
      <name val="Calibri"/>
      <charset val="1"/>
    </font>
  </fonts>
  <fills count="13">
    <fill>
      <patternFill patternType="none"/>
    </fill>
    <fill>
      <patternFill patternType="gray125"/>
    </fill>
    <fill>
      <patternFill patternType="solid">
        <fgColor rgb="FFFFFFFF"/>
        <bgColor rgb="FFEFF7F6"/>
      </patternFill>
    </fill>
    <fill>
      <patternFill patternType="solid">
        <fgColor rgb="FF213D7A"/>
        <bgColor rgb="FF1F5A58"/>
      </patternFill>
    </fill>
    <fill>
      <patternFill patternType="solid">
        <fgColor rgb="FFF6EDD3"/>
        <bgColor rgb="FFF2F2F2"/>
      </patternFill>
    </fill>
    <fill>
      <patternFill patternType="solid">
        <fgColor rgb="FFEDF1F8"/>
        <bgColor rgb="FFF2F2F2"/>
      </patternFill>
    </fill>
    <fill>
      <patternFill patternType="solid">
        <fgColor rgb="FFEBD9A0"/>
        <bgColor rgb="FFEBD3D1"/>
      </patternFill>
    </fill>
    <fill>
      <patternFill patternType="solid">
        <fgColor rgb="FFDDE5F2"/>
        <bgColor rgb="FFD8E8E7"/>
      </patternFill>
    </fill>
    <fill>
      <patternFill patternType="solid">
        <fgColor rgb="FFCCD8EA"/>
        <bgColor rgb="FFD9D9D9"/>
      </patternFill>
    </fill>
    <fill>
      <patternFill patternType="solid">
        <fgColor rgb="FFD8E8E7"/>
        <bgColor rgb="FFDDE5F2"/>
      </patternFill>
    </fill>
    <fill>
      <patternFill patternType="solid">
        <fgColor rgb="FFEFF7F6"/>
        <bgColor rgb="FFF2F2F2"/>
      </patternFill>
    </fill>
    <fill>
      <patternFill patternType="solid">
        <fgColor rgb="FFDFEEED"/>
        <bgColor rgb="FFD8E8E7"/>
      </patternFill>
    </fill>
    <fill>
      <patternFill patternType="solid">
        <fgColor rgb="FFCDE4E2"/>
        <bgColor rgb="FFD8E8E7"/>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2">
    <xf numFmtId="0" fontId="0" fillId="0" borderId="0" xfId="0"/>
    <xf numFmtId="0" fontId="0" fillId="0" borderId="0" xfId="0" applyAlignment="1"/>
    <xf numFmtId="0" fontId="0" fillId="2" borderId="0" xfId="0" applyFill="1" applyAlignment="1"/>
    <xf numFmtId="0" fontId="3" fillId="3" borderId="1" xfId="0" applyFont="1" applyFill="1" applyBorder="1" applyAlignment="1">
      <alignment horizontal="left" vertical="center" wrapText="1"/>
    </xf>
    <xf numFmtId="0" fontId="4" fillId="4" borderId="1" xfId="0" applyFont="1" applyFill="1" applyBorder="1" applyAlignment="1">
      <alignment horizontal="left" vertical="top" wrapText="1"/>
    </xf>
    <xf numFmtId="0" fontId="4" fillId="4" borderId="1" xfId="0" applyFont="1" applyFill="1" applyBorder="1" applyAlignment="1">
      <alignment horizontal="right" vertical="top" wrapText="1"/>
    </xf>
    <xf numFmtId="9" fontId="4" fillId="4" borderId="1" xfId="0" applyNumberFormat="1" applyFont="1" applyFill="1" applyBorder="1" applyAlignment="1">
      <alignment horizontal="right" vertical="top" wrapText="1"/>
    </xf>
    <xf numFmtId="0" fontId="5" fillId="2" borderId="0" xfId="0" applyFont="1" applyFill="1" applyAlignment="1"/>
    <xf numFmtId="0" fontId="6" fillId="2" borderId="1" xfId="0" applyFont="1" applyFill="1" applyBorder="1" applyAlignment="1">
      <alignment horizontal="left" vertical="top" wrapText="1"/>
    </xf>
    <xf numFmtId="0" fontId="6" fillId="2" borderId="1" xfId="0" applyFont="1" applyFill="1" applyBorder="1" applyAlignment="1">
      <alignment horizontal="right" vertical="top" wrapText="1"/>
    </xf>
    <xf numFmtId="9" fontId="6" fillId="2" borderId="1" xfId="0" applyNumberFormat="1" applyFont="1" applyFill="1" applyBorder="1" applyAlignment="1">
      <alignment horizontal="right" vertical="top" wrapText="1"/>
    </xf>
    <xf numFmtId="0" fontId="7" fillId="0" borderId="0" xfId="0" applyFont="1" applyAlignment="1">
      <alignment horizontal="left" vertical="center" wrapText="1"/>
    </xf>
    <xf numFmtId="0" fontId="7" fillId="0" borderId="1" xfId="0" applyFont="1" applyBorder="1" applyAlignment="1">
      <alignment vertical="top" wrapText="1"/>
    </xf>
    <xf numFmtId="3" fontId="8" fillId="4" borderId="1" xfId="0" applyNumberFormat="1" applyFont="1" applyFill="1" applyBorder="1" applyAlignment="1">
      <alignment horizontal="center" vertical="top" wrapText="1"/>
    </xf>
    <xf numFmtId="3" fontId="9" fillId="0" borderId="1" xfId="0" applyNumberFormat="1" applyFont="1" applyBorder="1" applyAlignment="1">
      <alignment horizontal="center" vertical="top" wrapText="1"/>
    </xf>
    <xf numFmtId="0" fontId="7" fillId="0" borderId="0" xfId="0" applyFont="1" applyAlignment="1"/>
    <xf numFmtId="0" fontId="9" fillId="0" borderId="1" xfId="0" applyFont="1" applyBorder="1" applyAlignment="1">
      <alignment vertical="top" wrapText="1"/>
    </xf>
    <xf numFmtId="3" fontId="7" fillId="0" borderId="1" xfId="0" applyNumberFormat="1" applyFont="1" applyBorder="1" applyAlignment="1">
      <alignment horizontal="center" vertical="top" wrapText="1"/>
    </xf>
    <xf numFmtId="0" fontId="10" fillId="4" borderId="1" xfId="0" applyFont="1" applyFill="1" applyBorder="1" applyAlignment="1">
      <alignment horizontal="center" vertical="top" wrapText="1"/>
    </xf>
    <xf numFmtId="1" fontId="8" fillId="4" borderId="1" xfId="0" applyNumberFormat="1" applyFont="1" applyFill="1" applyBorder="1" applyAlignment="1">
      <alignment horizontal="center" vertical="top" wrapText="1"/>
    </xf>
    <xf numFmtId="0" fontId="11" fillId="0" borderId="1" xfId="0" applyFont="1" applyBorder="1" applyAlignment="1">
      <alignment vertical="top" wrapText="1"/>
    </xf>
    <xf numFmtId="3" fontId="11" fillId="0" borderId="1" xfId="0" applyNumberFormat="1" applyFont="1" applyBorder="1" applyAlignment="1">
      <alignment horizontal="center" vertical="top" wrapText="1"/>
    </xf>
    <xf numFmtId="3" fontId="11" fillId="4" borderId="1" xfId="0" applyNumberFormat="1" applyFont="1" applyFill="1" applyBorder="1" applyAlignment="1">
      <alignment horizontal="center" vertical="top" wrapText="1"/>
    </xf>
    <xf numFmtId="1" fontId="11" fillId="4" borderId="1" xfId="0" applyNumberFormat="1" applyFont="1" applyFill="1" applyBorder="1" applyAlignment="1">
      <alignment horizontal="center" vertical="top" wrapText="1"/>
    </xf>
    <xf numFmtId="3" fontId="12" fillId="0" borderId="1" xfId="0" applyNumberFormat="1" applyFont="1" applyBorder="1" applyAlignment="1">
      <alignment horizontal="center" vertical="top" wrapText="1"/>
    </xf>
    <xf numFmtId="0" fontId="2" fillId="0" borderId="0" xfId="0" applyFont="1" applyAlignment="1"/>
    <xf numFmtId="164" fontId="8" fillId="4" borderId="1" xfId="0" applyNumberFormat="1" applyFont="1" applyFill="1" applyBorder="1" applyAlignment="1">
      <alignment horizontal="center" vertical="top" wrapText="1"/>
    </xf>
    <xf numFmtId="164" fontId="9" fillId="0" borderId="1" xfId="0" applyNumberFormat="1" applyFont="1" applyBorder="1" applyAlignment="1">
      <alignment horizontal="center" vertical="top" wrapText="1"/>
    </xf>
    <xf numFmtId="165" fontId="9" fillId="0" borderId="1" xfId="0" applyNumberFormat="1" applyFont="1" applyBorder="1" applyAlignment="1">
      <alignment horizontal="center" vertical="top" wrapText="1"/>
    </xf>
    <xf numFmtId="0" fontId="4" fillId="0" borderId="1" xfId="0" applyFont="1" applyBorder="1" applyAlignment="1">
      <alignment horizontal="left" vertical="top" wrapText="1"/>
    </xf>
    <xf numFmtId="0" fontId="6" fillId="0" borderId="1" xfId="0" applyFont="1" applyBorder="1" applyAlignment="1">
      <alignment horizontal="left" vertical="top" wrapText="1"/>
    </xf>
    <xf numFmtId="0" fontId="7" fillId="5" borderId="1" xfId="0" applyFont="1" applyFill="1" applyBorder="1" applyAlignment="1">
      <alignment horizontal="center" vertical="top"/>
    </xf>
    <xf numFmtId="0" fontId="7" fillId="5" borderId="1" xfId="0" applyFont="1" applyFill="1" applyBorder="1" applyAlignment="1">
      <alignment horizontal="left" vertical="top" wrapText="1"/>
    </xf>
    <xf numFmtId="164" fontId="13" fillId="5" borderId="1" xfId="0" applyNumberFormat="1" applyFont="1" applyFill="1" applyBorder="1" applyAlignment="1">
      <alignment horizontal="left" vertical="top" wrapText="1"/>
    </xf>
    <xf numFmtId="9" fontId="7" fillId="5" borderId="1" xfId="0" applyNumberFormat="1" applyFont="1" applyFill="1" applyBorder="1" applyAlignment="1">
      <alignment horizontal="center" vertical="top"/>
    </xf>
    <xf numFmtId="0" fontId="9" fillId="5" borderId="1" xfId="0" applyFont="1" applyFill="1" applyBorder="1" applyAlignment="1">
      <alignment horizontal="center" vertical="top"/>
    </xf>
    <xf numFmtId="0" fontId="9" fillId="5" borderId="1" xfId="0" applyFont="1" applyFill="1" applyBorder="1" applyAlignment="1">
      <alignment horizontal="left" vertical="top" wrapText="1"/>
    </xf>
    <xf numFmtId="0" fontId="14" fillId="6" borderId="1" xfId="0" applyFont="1" applyFill="1" applyBorder="1" applyAlignment="1">
      <alignment horizontal="left" vertical="top" wrapText="1"/>
    </xf>
    <xf numFmtId="0" fontId="4" fillId="5" borderId="1" xfId="0" applyFont="1" applyFill="1" applyBorder="1" applyAlignment="1">
      <alignment horizontal="left" vertical="top" wrapText="1"/>
    </xf>
    <xf numFmtId="164" fontId="9" fillId="5" borderId="1" xfId="0" applyNumberFormat="1" applyFont="1" applyFill="1" applyBorder="1" applyAlignment="1">
      <alignment horizontal="left" vertical="top" wrapText="1"/>
    </xf>
    <xf numFmtId="9" fontId="9" fillId="5" borderId="1" xfId="0" applyNumberFormat="1" applyFont="1" applyFill="1" applyBorder="1" applyAlignment="1">
      <alignment horizontal="center" vertical="top"/>
    </xf>
    <xf numFmtId="0" fontId="15" fillId="5" borderId="1" xfId="0" applyFont="1" applyFill="1" applyBorder="1" applyAlignment="1">
      <alignment horizontal="left" vertical="top" wrapText="1"/>
    </xf>
    <xf numFmtId="0" fontId="9" fillId="7" borderId="1" xfId="0" applyFont="1" applyFill="1" applyBorder="1" applyAlignment="1">
      <alignment horizontal="center" vertical="top"/>
    </xf>
    <xf numFmtId="0" fontId="9" fillId="7" borderId="1" xfId="0" applyFont="1" applyFill="1" applyBorder="1" applyAlignment="1">
      <alignment horizontal="left" vertical="top" wrapText="1"/>
    </xf>
    <xf numFmtId="164" fontId="9" fillId="7" borderId="1" xfId="0" applyNumberFormat="1" applyFont="1" applyFill="1" applyBorder="1" applyAlignment="1">
      <alignment horizontal="left" vertical="top" wrapText="1"/>
    </xf>
    <xf numFmtId="9" fontId="9" fillId="7" borderId="1" xfId="0" applyNumberFormat="1" applyFont="1" applyFill="1" applyBorder="1" applyAlignment="1">
      <alignment horizontal="center" vertical="top"/>
    </xf>
    <xf numFmtId="0" fontId="15" fillId="7" borderId="1" xfId="0" applyFont="1" applyFill="1" applyBorder="1" applyAlignment="1">
      <alignment horizontal="left" vertical="top" wrapText="1"/>
    </xf>
    <xf numFmtId="0" fontId="7" fillId="7"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7" fillId="7" borderId="1" xfId="0" applyFont="1" applyFill="1" applyBorder="1" applyAlignment="1">
      <alignment horizontal="center" vertical="top"/>
    </xf>
    <xf numFmtId="164" fontId="13" fillId="7" borderId="1" xfId="0" applyNumberFormat="1" applyFont="1" applyFill="1" applyBorder="1" applyAlignment="1">
      <alignment horizontal="left" vertical="top" wrapText="1"/>
    </xf>
    <xf numFmtId="9" fontId="7" fillId="7" borderId="1" xfId="0" applyNumberFormat="1" applyFont="1" applyFill="1" applyBorder="1" applyAlignment="1">
      <alignment horizontal="center" vertical="top"/>
    </xf>
    <xf numFmtId="164" fontId="16" fillId="7" borderId="1" xfId="0" applyNumberFormat="1" applyFont="1" applyFill="1" applyBorder="1" applyAlignment="1">
      <alignment horizontal="left" vertical="top" wrapText="1"/>
    </xf>
    <xf numFmtId="0" fontId="7" fillId="8" borderId="1" xfId="0" applyFont="1" applyFill="1" applyBorder="1" applyAlignment="1">
      <alignment horizontal="center" vertical="top"/>
    </xf>
    <xf numFmtId="0" fontId="7" fillId="8" borderId="1" xfId="0" applyFont="1" applyFill="1" applyBorder="1" applyAlignment="1">
      <alignment horizontal="left" vertical="top" wrapText="1"/>
    </xf>
    <xf numFmtId="164" fontId="13" fillId="8" borderId="1" xfId="0" applyNumberFormat="1" applyFont="1" applyFill="1" applyBorder="1" applyAlignment="1">
      <alignment horizontal="left" vertical="top" wrapText="1"/>
    </xf>
    <xf numFmtId="9" fontId="7" fillId="8" borderId="1" xfId="0" applyNumberFormat="1" applyFont="1" applyFill="1" applyBorder="1" applyAlignment="1">
      <alignment horizontal="center" vertical="top"/>
    </xf>
    <xf numFmtId="0" fontId="4" fillId="8" borderId="1" xfId="0" applyFont="1" applyFill="1" applyBorder="1" applyAlignment="1">
      <alignment horizontal="left" vertical="top" wrapText="1"/>
    </xf>
    <xf numFmtId="0" fontId="17" fillId="9" borderId="1" xfId="0" applyFont="1" applyFill="1" applyBorder="1" applyAlignment="1">
      <alignment horizontal="left" vertical="top" wrapText="1"/>
    </xf>
    <xf numFmtId="0" fontId="9" fillId="10" borderId="1" xfId="0" applyFont="1" applyFill="1" applyBorder="1" applyAlignment="1">
      <alignment horizontal="center" vertical="top"/>
    </xf>
    <xf numFmtId="0" fontId="9" fillId="10" borderId="1" xfId="0" applyFont="1" applyFill="1" applyBorder="1" applyAlignment="1">
      <alignment horizontal="left" vertical="top" wrapText="1"/>
    </xf>
    <xf numFmtId="164" fontId="9" fillId="10" borderId="1" xfId="0" applyNumberFormat="1" applyFont="1" applyFill="1" applyBorder="1" applyAlignment="1">
      <alignment horizontal="left" vertical="top" wrapText="1"/>
    </xf>
    <xf numFmtId="9" fontId="9" fillId="10" borderId="1" xfId="0" applyNumberFormat="1" applyFont="1" applyFill="1" applyBorder="1" applyAlignment="1">
      <alignment horizontal="center" vertical="top"/>
    </xf>
    <xf numFmtId="0" fontId="4" fillId="10" borderId="1" xfId="0" applyFont="1" applyFill="1" applyBorder="1" applyAlignment="1">
      <alignment horizontal="left" vertical="top" wrapText="1"/>
    </xf>
    <xf numFmtId="0" fontId="15" fillId="10" borderId="1" xfId="0" applyFont="1" applyFill="1" applyBorder="1" applyAlignment="1">
      <alignment horizontal="left" vertical="top" wrapText="1"/>
    </xf>
    <xf numFmtId="0" fontId="7" fillId="10" borderId="1" xfId="0" applyFont="1" applyFill="1" applyBorder="1" applyAlignment="1">
      <alignment horizontal="left" vertical="top" wrapText="1"/>
    </xf>
    <xf numFmtId="0" fontId="9" fillId="11" borderId="1" xfId="0" applyFont="1" applyFill="1" applyBorder="1" applyAlignment="1">
      <alignment horizontal="center" vertical="top"/>
    </xf>
    <xf numFmtId="0" fontId="9" fillId="11" borderId="1" xfId="0" applyFont="1" applyFill="1" applyBorder="1" applyAlignment="1">
      <alignment horizontal="left" vertical="top" wrapText="1"/>
    </xf>
    <xf numFmtId="0" fontId="4" fillId="11" borderId="1" xfId="0" applyFont="1" applyFill="1" applyBorder="1" applyAlignment="1">
      <alignment horizontal="left" vertical="top" wrapText="1"/>
    </xf>
    <xf numFmtId="164" fontId="9" fillId="11" borderId="1" xfId="0" applyNumberFormat="1" applyFont="1" applyFill="1" applyBorder="1" applyAlignment="1">
      <alignment horizontal="left" vertical="top" wrapText="1"/>
    </xf>
    <xf numFmtId="9" fontId="9" fillId="11" borderId="1" xfId="0" applyNumberFormat="1" applyFont="1" applyFill="1" applyBorder="1" applyAlignment="1">
      <alignment horizontal="center" vertical="top"/>
    </xf>
    <xf numFmtId="0" fontId="9" fillId="12" borderId="1" xfId="0" applyFont="1" applyFill="1" applyBorder="1" applyAlignment="1">
      <alignment horizontal="center" vertical="top"/>
    </xf>
    <xf numFmtId="0" fontId="9" fillId="12" borderId="1" xfId="0" applyFont="1" applyFill="1" applyBorder="1" applyAlignment="1">
      <alignment horizontal="left" vertical="top" wrapText="1"/>
    </xf>
    <xf numFmtId="0" fontId="4" fillId="12" borderId="1" xfId="0" applyFont="1" applyFill="1" applyBorder="1" applyAlignment="1">
      <alignment horizontal="left" vertical="top" wrapText="1"/>
    </xf>
    <xf numFmtId="164" fontId="9" fillId="12" borderId="1" xfId="0" applyNumberFormat="1" applyFont="1" applyFill="1" applyBorder="1" applyAlignment="1">
      <alignment horizontal="left" vertical="top" wrapText="1"/>
    </xf>
    <xf numFmtId="9" fontId="9" fillId="12" borderId="1" xfId="0" applyNumberFormat="1" applyFont="1" applyFill="1" applyBorder="1" applyAlignment="1">
      <alignment horizontal="center" vertical="top"/>
    </xf>
    <xf numFmtId="164" fontId="7" fillId="0" borderId="1" xfId="0" applyNumberFormat="1" applyFont="1" applyBorder="1" applyAlignment="1">
      <alignment horizontal="left" vertical="top"/>
    </xf>
    <xf numFmtId="0" fontId="4" fillId="0" borderId="1" xfId="0" applyFont="1" applyBorder="1" applyAlignment="1">
      <alignment vertical="top" wrapText="1"/>
    </xf>
    <xf numFmtId="164" fontId="19" fillId="0" borderId="1" xfId="0" applyNumberFormat="1" applyFont="1" applyBorder="1" applyAlignment="1">
      <alignment horizontal="left" vertical="top"/>
    </xf>
    <xf numFmtId="0" fontId="2" fillId="0" borderId="0" xfId="0" applyFont="1" applyAlignment="1">
      <alignment vertical="top" wrapText="1"/>
    </xf>
    <xf numFmtId="0" fontId="4" fillId="0" borderId="1" xfId="0" applyFont="1" applyBorder="1" applyAlignment="1">
      <alignment horizontal="center" vertical="top"/>
    </xf>
    <xf numFmtId="0" fontId="7" fillId="0" borderId="1" xfId="0" applyFont="1" applyBorder="1" applyAlignment="1">
      <alignment horizontal="center" vertical="top" wrapText="1"/>
    </xf>
    <xf numFmtId="0" fontId="7" fillId="0" borderId="0" xfId="0" applyFont="1" applyAlignment="1">
      <alignment vertical="top" wrapText="1"/>
    </xf>
    <xf numFmtId="0" fontId="20" fillId="0" borderId="0" xfId="0" applyFont="1" applyAlignment="1"/>
    <xf numFmtId="0" fontId="17"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0" fontId="21" fillId="0" borderId="1" xfId="0" applyFont="1" applyBorder="1" applyAlignment="1">
      <alignment horizontal="center" vertical="top" wrapText="1"/>
    </xf>
    <xf numFmtId="0" fontId="22" fillId="0" borderId="1" xfId="0" applyFont="1" applyBorder="1" applyAlignment="1">
      <alignment horizontal="center" vertical="top" wrapText="1"/>
    </xf>
    <xf numFmtId="0" fontId="23" fillId="0" borderId="1" xfId="0" applyFont="1" applyBorder="1" applyAlignment="1">
      <alignment horizontal="center" vertical="top" wrapText="1"/>
    </xf>
    <xf numFmtId="0" fontId="24" fillId="0" borderId="1" xfId="0" applyFont="1" applyBorder="1" applyAlignment="1">
      <alignment horizontal="center" vertical="top" wrapText="1"/>
    </xf>
    <xf numFmtId="166" fontId="0" fillId="0" borderId="0" xfId="0" applyNumberFormat="1" applyAlignment="1"/>
    <xf numFmtId="0" fontId="17" fillId="10" borderId="1" xfId="0" applyFont="1" applyFill="1" applyBorder="1" applyAlignment="1">
      <alignment horizontal="center" vertical="top"/>
    </xf>
    <xf numFmtId="0" fontId="7" fillId="10" borderId="1" xfId="0" applyFont="1" applyFill="1" applyBorder="1" applyAlignment="1">
      <alignment vertical="top" wrapText="1"/>
    </xf>
    <xf numFmtId="0" fontId="17" fillId="2" borderId="1" xfId="0" applyFont="1" applyFill="1" applyBorder="1" applyAlignment="1">
      <alignment horizontal="center" vertical="top"/>
    </xf>
    <xf numFmtId="0" fontId="7" fillId="2" borderId="1" xfId="0" applyFont="1" applyFill="1" applyBorder="1" applyAlignment="1">
      <alignment vertical="top" wrapText="1"/>
    </xf>
    <xf numFmtId="0" fontId="1" fillId="2" borderId="0" xfId="0" applyFont="1" applyFill="1" applyBorder="1" applyAlignment="1"/>
    <xf numFmtId="0" fontId="2" fillId="2" borderId="0" xfId="0" applyFont="1" applyFill="1" applyBorder="1" applyAlignment="1"/>
    <xf numFmtId="0" fontId="5" fillId="0" borderId="0" xfId="0" applyFont="1" applyBorder="1" applyAlignment="1"/>
    <xf numFmtId="0" fontId="2" fillId="0" borderId="0" xfId="0" applyFont="1" applyBorder="1" applyAlignment="1">
      <alignment vertical="top" wrapText="1"/>
    </xf>
    <xf numFmtId="0" fontId="4" fillId="0" borderId="0" xfId="0" applyFont="1" applyBorder="1" applyAlignment="1"/>
    <xf numFmtId="0" fontId="20" fillId="0" borderId="0" xfId="0" applyFont="1" applyBorder="1" applyAlignment="1"/>
    <xf numFmtId="0" fontId="2" fillId="0" borderId="0" xfId="0" applyFont="1" applyBorder="1" applyAlignment="1"/>
  </cellXfs>
  <cellStyles count="1">
    <cellStyle name="Normal" xfId="0" builtinId="0"/>
  </cellStyles>
  <dxfs count="11">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b/>
        <color rgb="FF1F5A58"/>
      </font>
      <fill>
        <patternFill>
          <bgColor rgb="FFD8E8E7"/>
        </patternFill>
      </fill>
    </dxf>
    <dxf>
      <font>
        <b/>
        <color rgb="FF7A5E10"/>
      </font>
      <fill>
        <patternFill>
          <bgColor rgb="FFF6EDD3"/>
        </patternFill>
      </fill>
    </dxf>
    <dxf>
      <font>
        <b/>
        <color rgb="FF8C3A34"/>
      </font>
      <fill>
        <patternFill>
          <bgColor rgb="FFEBD3D1"/>
        </patternFill>
      </fill>
    </dxf>
    <dxf>
      <font>
        <b/>
        <color rgb="FF595959"/>
      </font>
      <fill>
        <patternFill>
          <bgColor rgb="FFF2F2F2"/>
        </patternFill>
      </fill>
    </dxf>
    <dxf>
      <font>
        <b/>
        <color rgb="FF595959"/>
      </font>
      <fill>
        <patternFill>
          <bgColor rgb="FFF2F2F2"/>
        </patternFill>
      </fill>
    </dxf>
    <dxf>
      <font>
        <b/>
        <color rgb="FF7A5E10"/>
      </font>
      <fill>
        <patternFill>
          <bgColor rgb="FFF6EDD3"/>
        </patternFill>
      </fill>
    </dxf>
    <dxf>
      <font>
        <b/>
        <color rgb="FF1F5A58"/>
      </font>
      <fill>
        <patternFill>
          <bgColor rgb="FFD8E8E7"/>
        </patternFill>
      </fill>
    </dxf>
    <dxf>
      <font>
        <b/>
        <color rgb="FF1F5A58"/>
      </font>
      <fill>
        <patternFill>
          <bgColor rgb="FFD8E8E7"/>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D9D9D9"/>
      <rgbColor rgb="FF808080"/>
      <rgbColor rgb="FFEDF1F8"/>
      <rgbColor rgb="FF8C3A34"/>
      <rgbColor rgb="FFF6EDD3"/>
      <rgbColor rgb="FFDFEEED"/>
      <rgbColor rgb="FF660066"/>
      <rgbColor rgb="FFFF8080"/>
      <rgbColor rgb="FF0066CC"/>
      <rgbColor rgb="FFCCD8EA"/>
      <rgbColor rgb="FF000080"/>
      <rgbColor rgb="FFFF00FF"/>
      <rgbColor rgb="FFFFFF00"/>
      <rgbColor rgb="FF00FFFF"/>
      <rgbColor rgb="FF800080"/>
      <rgbColor rgb="FF800000"/>
      <rgbColor rgb="FF008080"/>
      <rgbColor rgb="FF0000FF"/>
      <rgbColor rgb="FF00CCFF"/>
      <rgbColor rgb="FFEFF7F6"/>
      <rgbColor rgb="FFD8E8E7"/>
      <rgbColor rgb="FFF2F2F2"/>
      <rgbColor rgb="FFCDE4E2"/>
      <rgbColor rgb="FFEBD3D1"/>
      <rgbColor rgb="FFDDE5F2"/>
      <rgbColor rgb="FFEBD9A0"/>
      <rgbColor rgb="FF3366FF"/>
      <rgbColor rgb="FF33CCCC"/>
      <rgbColor rgb="FF99CC00"/>
      <rgbColor rgb="FFFFCC00"/>
      <rgbColor rgb="FFFF9900"/>
      <rgbColor rgb="FFFF6600"/>
      <rgbColor rgb="FF595959"/>
      <rgbColor rgb="FF969696"/>
      <rgbColor rgb="FF1F5A58"/>
      <rgbColor rgb="FF2E7D7B"/>
      <rgbColor rgb="FF003300"/>
      <rgbColor rgb="FF333300"/>
      <rgbColor rgb="FF6B5410"/>
      <rgbColor rgb="FF7A5E10"/>
      <rgbColor rgb="FF213D7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ProjectPlan" displayName="ProjectPlan" ref="A1:J165" totalsRowShown="0">
  <autoFilter ref="A1:J165" xr:uid="{00000000-0009-0000-0100-000003000000}"/>
  <tableColumns count="10">
    <tableColumn id="1" xr3:uid="{00000000-0010-0000-0000-000001000000}" name="#"/>
    <tableColumn id="2" xr3:uid="{00000000-0010-0000-0000-000002000000}" name="Phase"/>
    <tableColumn id="3" xr3:uid="{00000000-0010-0000-0000-000003000000}" name="Type"/>
    <tableColumn id="4" xr3:uid="{00000000-0010-0000-0000-000004000000}" name="Task / Deliverable"/>
    <tableColumn id="5" xr3:uid="{00000000-0010-0000-0000-000005000000}" name="Owner"/>
    <tableColumn id="6" xr3:uid="{00000000-0010-0000-0000-000006000000}" name="Due Date"/>
    <tableColumn id="7" xr3:uid="{00000000-0010-0000-0000-000007000000}" name="Status"/>
    <tableColumn id="8" xr3:uid="{00000000-0010-0000-0000-000008000000}" name="% Complete"/>
    <tableColumn id="9" xr3:uid="{00000000-0010-0000-0000-000009000000}" name="Notes / Details"/>
    <tableColumn id="10" xr3:uid="{00000000-0010-0000-0000-00000A000000}" name="Comms Phas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KeyDates" displayName="KeyDates" ref="A1:C20" totalsRowShown="0">
  <autoFilter ref="A1:C20" xr:uid="{00000000-0009-0000-0100-000001000000}"/>
  <tableColumns count="3">
    <tableColumn id="1" xr3:uid="{00000000-0010-0000-0100-000001000000}" name="Date"/>
    <tableColumn id="2" xr3:uid="{00000000-0010-0000-0100-000002000000}" name="Milestone"/>
    <tableColumn id="3" xr3:uid="{00000000-0010-0000-0100-000003000000}" name="Deliverables Du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OpenDecisions" displayName="OpenDecisions" ref="A20:E37" totalsRowShown="0">
  <tableColumns count="5">
    <tableColumn id="1" xr3:uid="{00000000-0010-0000-0200-000001000000}" name="ID"/>
    <tableColumn id="2" xr3:uid="{00000000-0010-0000-0200-000002000000}" name="Decision"/>
    <tableColumn id="3" xr3:uid="{00000000-0010-0000-0200-000003000000}" name="Status"/>
    <tableColumn id="4" xr3:uid="{00000000-0010-0000-0200-000004000000}" name="Target Resolution"/>
    <tableColumn id="5" xr3:uid="{00000000-0010-0000-0200-000005000000}"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isks" displayName="Risks" ref="A2:E17" totalsRowShown="0">
  <tableColumns count="5">
    <tableColumn id="1" xr3:uid="{00000000-0010-0000-0300-000001000000}" name="ID"/>
    <tableColumn id="2" xr3:uid="{00000000-0010-0000-0300-000002000000}" name="Risk"/>
    <tableColumn id="3" xr3:uid="{00000000-0010-0000-0300-000003000000}" name="Mitigation"/>
    <tableColumn id="4" xr3:uid="{00000000-0010-0000-0300-000004000000}" name="Likelihood"/>
    <tableColumn id="5" xr3:uid="{00000000-0010-0000-0300-000005000000}" name="Impact"/>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SuccessMetrics" displayName="SuccessMetrics" ref="A1:E8" totalsRowShown="0">
  <autoFilter ref="A1:E8" xr:uid="{00000000-0009-0000-0100-000005000000}"/>
  <tableColumns count="5">
    <tableColumn id="1" xr3:uid="{00000000-0010-0000-0400-000001000000}" name="Metric"/>
    <tableColumn id="2" xr3:uid="{00000000-0010-0000-0400-000002000000}" name="Source"/>
    <tableColumn id="3" xr3:uid="{00000000-0010-0000-0400-000003000000}" name="What It Shows"/>
    <tableColumn id="4" xr3:uid="{00000000-0010-0000-0400-000004000000}" name="Target / Threshold"/>
    <tableColumn id="5" xr3:uid="{00000000-0010-0000-0400-000005000000}" name="Reporting Frequ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13D7A"/>
    <pageSetUpPr fitToPage="1"/>
  </sheetPr>
  <dimension ref="A1:I21"/>
  <sheetViews>
    <sheetView showGridLines="0" zoomScaleNormal="100" workbookViewId="0">
      <pane ySplit="4" topLeftCell="A5" activePane="bottomLeft" state="frozen"/>
      <selection pane="bottomLeft" activeCell="A10" sqref="A10"/>
    </sheetView>
  </sheetViews>
  <sheetFormatPr defaultColWidth="8.5703125" defaultRowHeight="14.25"/>
  <cols>
    <col min="1" max="1" width="58" style="1" customWidth="1"/>
    <col min="2" max="2" width="10" style="1" customWidth="1"/>
    <col min="3" max="3" width="10.5703125" style="1" customWidth="1"/>
    <col min="4" max="4" width="9" style="1" customWidth="1"/>
    <col min="5" max="5" width="10.28515625" style="1" customWidth="1"/>
    <col min="6" max="6" width="18.28515625" style="1" customWidth="1"/>
    <col min="7" max="9" width="13" style="1" customWidth="1"/>
  </cols>
  <sheetData>
    <row r="1" spans="1:9" ht="19.5" customHeight="1">
      <c r="A1" s="95" t="s">
        <v>0</v>
      </c>
      <c r="B1" s="95"/>
      <c r="C1" s="95"/>
      <c r="D1" s="95"/>
      <c r="E1" s="95"/>
      <c r="F1" s="95"/>
      <c r="G1" s="2"/>
      <c r="H1" s="2"/>
      <c r="I1" s="2"/>
    </row>
    <row r="2" spans="1:9" ht="13.5" customHeight="1">
      <c r="A2" s="96" t="s">
        <v>1</v>
      </c>
      <c r="B2" s="96"/>
      <c r="C2" s="96"/>
      <c r="D2" s="96"/>
      <c r="E2" s="96"/>
      <c r="F2" s="96"/>
      <c r="G2" s="2"/>
      <c r="H2" s="2"/>
      <c r="I2" s="2"/>
    </row>
    <row r="3" spans="1:9" ht="9.75" customHeight="1">
      <c r="A3" s="2"/>
      <c r="B3" s="2"/>
      <c r="C3" s="2"/>
      <c r="D3" s="2"/>
      <c r="E3" s="2"/>
      <c r="F3" s="2"/>
      <c r="G3" s="2"/>
      <c r="H3" s="2"/>
      <c r="I3" s="2"/>
    </row>
    <row r="4" spans="1:9" ht="30" customHeight="1">
      <c r="A4" s="3" t="s">
        <v>2</v>
      </c>
      <c r="B4" s="3" t="s">
        <v>3</v>
      </c>
      <c r="C4" s="3" t="s">
        <v>4</v>
      </c>
      <c r="D4" s="3" t="s">
        <v>5</v>
      </c>
      <c r="E4" s="3" t="s">
        <v>6</v>
      </c>
      <c r="F4" s="3" t="s">
        <v>7</v>
      </c>
      <c r="G4" s="2"/>
      <c r="H4" s="2"/>
      <c r="I4" s="2"/>
    </row>
    <row r="5" spans="1:9" ht="18" customHeight="1">
      <c r="A5" s="4" t="s">
        <v>8</v>
      </c>
      <c r="B5" s="5">
        <f>COUNTA('Project Plan'!$B$2:$B$500)</f>
        <v>164</v>
      </c>
      <c r="C5" s="6">
        <f>AVERAGE('Project Plan'!$H$2:$H$500)</f>
        <v>0.27835365853658539</v>
      </c>
      <c r="D5" s="5">
        <f>COUNTIF('Project Plan'!$G$2:$G$500,"Complete")</f>
        <v>29</v>
      </c>
      <c r="E5" s="5">
        <f>COUNTIF('Project Plan'!$G$2:$G$500,"In Progress")</f>
        <v>35</v>
      </c>
      <c r="F5" s="5">
        <f>COUNTIF('Project Plan'!$G$2:$G$500,"Not Started")+COUNTIF('Project Plan'!$G$2:$G$500,"Deferred")</f>
        <v>100</v>
      </c>
      <c r="G5" s="2"/>
      <c r="H5" s="2"/>
      <c r="I5" s="2"/>
    </row>
    <row r="6" spans="1:9" ht="9.75" customHeight="1">
      <c r="A6" s="2"/>
      <c r="B6" s="2"/>
      <c r="C6" s="2"/>
      <c r="D6" s="2"/>
      <c r="E6" s="2"/>
      <c r="F6" s="2"/>
      <c r="G6" s="2"/>
      <c r="H6" s="2"/>
      <c r="I6" s="2"/>
    </row>
    <row r="7" spans="1:9" ht="19.5" customHeight="1">
      <c r="A7" s="7" t="s">
        <v>9</v>
      </c>
      <c r="B7" s="2"/>
      <c r="C7" s="2"/>
      <c r="D7" s="2"/>
      <c r="E7" s="2"/>
      <c r="F7" s="2"/>
      <c r="G7" s="2"/>
      <c r="H7" s="2"/>
      <c r="I7" s="2"/>
    </row>
    <row r="8" spans="1:9" ht="30" customHeight="1">
      <c r="A8" s="3" t="s">
        <v>2</v>
      </c>
      <c r="B8" s="3" t="s">
        <v>3</v>
      </c>
      <c r="C8" s="3" t="s">
        <v>4</v>
      </c>
      <c r="D8" s="3" t="s">
        <v>5</v>
      </c>
      <c r="E8" s="3" t="s">
        <v>6</v>
      </c>
      <c r="F8" s="3" t="s">
        <v>7</v>
      </c>
      <c r="G8" s="2"/>
      <c r="H8" s="2"/>
      <c r="I8" s="2"/>
    </row>
    <row r="9" spans="1:9" ht="18" customHeight="1">
      <c r="A9" s="8" t="s">
        <v>10</v>
      </c>
      <c r="B9" s="9">
        <f>COUNTIF('Project Plan'!$B$2:$B$500,"Copilot Basic | Phase 0 - Readiness (through 9/11)")</f>
        <v>62</v>
      </c>
      <c r="C9" s="10">
        <f>IFERROR(AVERAGEIF('Project Plan'!$B$2:$B$500,"Copilot Basic | Phase 0 - Readiness (through 9/11)",'Project Plan'!$H$2:$H$500),0)</f>
        <v>0.55483870967741933</v>
      </c>
      <c r="D9" s="9">
        <f>COUNTIFS('Project Plan'!$B$2:$B$500,"Copilot Basic | Phase 0 - Readiness (through 9/11)",'Project Plan'!$G$2:$G$500,"Complete")</f>
        <v>21</v>
      </c>
      <c r="E9" s="9">
        <f>COUNTIFS('Project Plan'!$B$2:$B$500,"Copilot Basic | Phase 0 - Readiness (through 9/11)",'Project Plan'!$G$2:$G$500,"In Progress")</f>
        <v>25</v>
      </c>
      <c r="F9" s="9">
        <f>COUNTIFS('Project Plan'!$B$2:$B$500,"Copilot Basic | Phase 0 - Readiness (through 9/11)",'Project Plan'!$G$2:$G$500,"Not Started")+COUNTIFS('Project Plan'!$B$2:$B$500,"Copilot Basic | Phase 0 - Readiness (through 9/11)",'Project Plan'!$G$2:$G$500,"Deferred")</f>
        <v>16</v>
      </c>
      <c r="G9" s="2"/>
      <c r="H9" s="2"/>
      <c r="I9" s="2"/>
    </row>
    <row r="10" spans="1:9" ht="30" customHeight="1">
      <c r="A10" s="8" t="s">
        <v>11</v>
      </c>
      <c r="B10" s="9">
        <f>COUNTIF('Project Plan'!$B$2:$B$500,"Copilot Basic | Phase 1 - Rolling Training Delivery (9/21/26 onward; see Training Capacity Plan tab)")</f>
        <v>32</v>
      </c>
      <c r="C10" s="10">
        <f>IFERROR(AVERAGEIF('Project Plan'!$B$2:$B$500,"Copilot Basic | Phase 1 - Rolling Training Delivery (9/21/26 onward; see Training Capacity Plan tab)",'Project Plan'!$H$2:$H$500),0)</f>
        <v>9.0625000000000011E-2</v>
      </c>
      <c r="D10" s="9">
        <f>COUNTIFS('Project Plan'!$B$2:$B$500,"Copilot Basic | Phase 1 - Rolling Training Delivery (9/21/26 onward; see Training Capacity Plan tab)",'Project Plan'!$G$2:$G$500,"Complete")</f>
        <v>1</v>
      </c>
      <c r="E10" s="9">
        <f>COUNTIFS('Project Plan'!$B$2:$B$500,"Copilot Basic | Phase 1 - Rolling Training Delivery (9/21/26 onward; see Training Capacity Plan tab)",'Project Plan'!$G$2:$G$500,"In Progress")</f>
        <v>4</v>
      </c>
      <c r="F10" s="9">
        <f>COUNTIFS('Project Plan'!$B$2:$B$500,"Copilot Basic | Phase 1 - Rolling Training Delivery (9/21/26 onward; see Training Capacity Plan tab)",'Project Plan'!$G$2:$G$500,"Not Started")+COUNTIFS('Project Plan'!$B$2:$B$500,"Copilot Basic | Phase 1 - Rolling Training Delivery (9/21/26 onward; see Training Capacity Plan tab)",'Project Plan'!$G$2:$G$500,"Deferred")</f>
        <v>27</v>
      </c>
      <c r="G10" s="2"/>
      <c r="H10" s="2"/>
      <c r="I10" s="2"/>
    </row>
    <row r="11" spans="1:9" ht="30" customHeight="1">
      <c r="A11" s="8" t="s">
        <v>12</v>
      </c>
      <c r="B11" s="9">
        <f>COUNTIF('Project Plan'!$B$2:$B$500,"Copilot Basic | Phase 2 - Monitoring &amp; Continuous Improvement (ongoing)")</f>
        <v>26</v>
      </c>
      <c r="C11" s="10">
        <f>IFERROR(AVERAGEIF('Project Plan'!$B$2:$B$500,"Copilot Basic | Phase 2 - Monitoring &amp; Continuous Improvement (ongoing)",'Project Plan'!$H$2:$H$500),0)</f>
        <v>0</v>
      </c>
      <c r="D11" s="9">
        <f>COUNTIFS('Project Plan'!$B$2:$B$500,"Copilot Basic | Phase 2 - Monitoring &amp; Continuous Improvement (ongoing)",'Project Plan'!$G$2:$G$500,"Complete")</f>
        <v>0</v>
      </c>
      <c r="E11" s="9">
        <f>COUNTIFS('Project Plan'!$B$2:$B$500,"Copilot Basic | Phase 2 - Monitoring &amp; Continuous Improvement (ongoing)",'Project Plan'!$G$2:$G$500,"In Progress")</f>
        <v>0</v>
      </c>
      <c r="F11" s="9">
        <f>COUNTIFS('Project Plan'!$B$2:$B$500,"Copilot Basic | Phase 2 - Monitoring &amp; Continuous Improvement (ongoing)",'Project Plan'!$G$2:$G$500,"Not Started")+COUNTIFS('Project Plan'!$B$2:$B$500,"Copilot Basic | Phase 2 - Monitoring &amp; Continuous Improvement (ongoing)",'Project Plan'!$G$2:$G$500,"Deferred")</f>
        <v>26</v>
      </c>
      <c r="G11" s="2"/>
      <c r="H11" s="2"/>
      <c r="I11" s="2"/>
    </row>
    <row r="12" spans="1:9" ht="18" customHeight="1">
      <c r="A12" s="8" t="s">
        <v>13</v>
      </c>
      <c r="B12" s="9">
        <f>COUNTIF('Project Plan'!$B$2:$B$500,"HR Chatbot | Readiness &amp; Provisioning (through 10/2)")</f>
        <v>21</v>
      </c>
      <c r="C12" s="10">
        <f>IFERROR(AVERAGEIF('Project Plan'!$B$2:$B$500,"HR Chatbot | Readiness &amp; Provisioning (through 10/2)",'Project Plan'!$H$2:$H$500),0)</f>
        <v>0.39761904761904759</v>
      </c>
      <c r="D12" s="9">
        <f>COUNTIFS('Project Plan'!$B$2:$B$500,"HR Chatbot | Readiness &amp; Provisioning (through 10/2)",'Project Plan'!$G$2:$G$500,"Complete")</f>
        <v>7</v>
      </c>
      <c r="E12" s="9">
        <f>COUNTIFS('Project Plan'!$B$2:$B$500,"HR Chatbot | Readiness &amp; Provisioning (through 10/2)",'Project Plan'!$G$2:$G$500,"In Progress")</f>
        <v>6</v>
      </c>
      <c r="F12" s="9">
        <f>COUNTIFS('Project Plan'!$B$2:$B$500,"HR Chatbot | Readiness &amp; Provisioning (through 10/2)",'Project Plan'!$G$2:$G$500,"Not Started")+COUNTIFS('Project Plan'!$B$2:$B$500,"HR Chatbot | Readiness &amp; Provisioning (through 10/2)",'Project Plan'!$G$2:$G$500,"Deferred")</f>
        <v>8</v>
      </c>
      <c r="G12" s="2"/>
      <c r="H12" s="2"/>
      <c r="I12" s="2"/>
    </row>
    <row r="13" spans="1:9" ht="18" customHeight="1">
      <c r="A13" s="8" t="s">
        <v>14</v>
      </c>
      <c r="B13" s="9">
        <f>COUNTIF('Project Plan'!$B$2:$B$500,"HR Chatbot | Three-Phase Testing (10/5-11/20)")</f>
        <v>14</v>
      </c>
      <c r="C13" s="10">
        <f>IFERROR(AVERAGEIF('Project Plan'!$B$2:$B$500,"HR Chatbot | Three-Phase Testing (10/5-11/20)",'Project Plan'!$H$2:$H$500),0)</f>
        <v>0</v>
      </c>
      <c r="D13" s="9">
        <f>COUNTIFS('Project Plan'!$B$2:$B$500,"HR Chatbot | Three-Phase Testing (10/5-11/20)",'Project Plan'!$G$2:$G$500,"Complete")</f>
        <v>0</v>
      </c>
      <c r="E13" s="9">
        <f>COUNTIFS('Project Plan'!$B$2:$B$500,"HR Chatbot | Three-Phase Testing (10/5-11/20)",'Project Plan'!$G$2:$G$500,"In Progress")</f>
        <v>0</v>
      </c>
      <c r="F13" s="9">
        <f>COUNTIFS('Project Plan'!$B$2:$B$500,"HR Chatbot | Three-Phase Testing (10/5-11/20)",'Project Plan'!$G$2:$G$500,"Not Started")+COUNTIFS('Project Plan'!$B$2:$B$500,"HR Chatbot | Three-Phase Testing (10/5-11/20)",'Project Plan'!$G$2:$G$500,"Deferred")</f>
        <v>14</v>
      </c>
      <c r="G13" s="2"/>
      <c r="H13" s="2"/>
      <c r="I13" s="2"/>
    </row>
    <row r="14" spans="1:9" ht="18" customHeight="1">
      <c r="A14" s="8" t="s">
        <v>15</v>
      </c>
      <c r="B14" s="9">
        <f>COUNTIF('Project Plan'!$B$2:$B$500,"HR Chatbot | ESC Approval &amp; Pilot (11/30 onward)")</f>
        <v>9</v>
      </c>
      <c r="C14" s="10">
        <f>IFERROR(AVERAGEIF('Project Plan'!$B$2:$B$500,"HR Chatbot | ESC Approval &amp; Pilot (11/30 onward)",'Project Plan'!$H$2:$H$500),0)</f>
        <v>0</v>
      </c>
      <c r="D14" s="9">
        <f>COUNTIFS('Project Plan'!$B$2:$B$500,"HR Chatbot | ESC Approval &amp; Pilot (11/30 onward)",'Project Plan'!$G$2:$G$500,"Complete")</f>
        <v>0</v>
      </c>
      <c r="E14" s="9">
        <f>COUNTIFS('Project Plan'!$B$2:$B$500,"HR Chatbot | ESC Approval &amp; Pilot (11/30 onward)",'Project Plan'!$G$2:$G$500,"In Progress")</f>
        <v>0</v>
      </c>
      <c r="F14" s="9">
        <f>COUNTIFS('Project Plan'!$B$2:$B$500,"HR Chatbot | ESC Approval &amp; Pilot (11/30 onward)",'Project Plan'!$G$2:$G$500,"Not Started")+COUNTIFS('Project Plan'!$B$2:$B$500,"HR Chatbot | ESC Approval &amp; Pilot (11/30 onward)",'Project Plan'!$G$2:$G$500,"Deferred")</f>
        <v>9</v>
      </c>
      <c r="G14" s="2"/>
      <c r="H14" s="2"/>
      <c r="I14" s="2"/>
    </row>
    <row r="15" spans="1:9" ht="9.75" customHeight="1">
      <c r="A15" s="2"/>
      <c r="B15" s="2"/>
      <c r="C15" s="2"/>
      <c r="D15" s="2"/>
      <c r="E15" s="2"/>
      <c r="F15" s="2"/>
      <c r="G15" s="2"/>
      <c r="H15" s="2"/>
      <c r="I15" s="2"/>
    </row>
    <row r="16" spans="1:9" ht="19.5" customHeight="1">
      <c r="A16" s="7" t="s">
        <v>16</v>
      </c>
      <c r="B16" s="2"/>
      <c r="C16" s="2"/>
      <c r="D16" s="2"/>
      <c r="E16" s="2"/>
      <c r="F16" s="2"/>
      <c r="G16" s="2"/>
      <c r="H16" s="2"/>
      <c r="I16" s="2"/>
    </row>
    <row r="17" spans="1:9" ht="30" customHeight="1">
      <c r="A17" s="3" t="s">
        <v>2</v>
      </c>
      <c r="B17" s="3" t="s">
        <v>3</v>
      </c>
      <c r="C17" s="3" t="s">
        <v>4</v>
      </c>
      <c r="D17" s="3" t="s">
        <v>5</v>
      </c>
      <c r="E17" s="3" t="s">
        <v>6</v>
      </c>
      <c r="F17" s="3" t="s">
        <v>7</v>
      </c>
      <c r="G17" s="2"/>
      <c r="H17" s="2"/>
      <c r="I17" s="2"/>
    </row>
    <row r="18" spans="1:9" ht="18" customHeight="1">
      <c r="A18" s="8" t="s">
        <v>17</v>
      </c>
      <c r="B18" s="9">
        <f>COUNTIF('Project Plan'!$B$2:$B$500,"Copilot Basic*")</f>
        <v>120</v>
      </c>
      <c r="C18" s="10">
        <f>IFERROR(AVERAGEIF('Project Plan'!$B$2:$B$500,"Copilot Basic*",'Project Plan'!$H$2:$H$500),0)</f>
        <v>0.31083333333333335</v>
      </c>
      <c r="D18" s="9">
        <f>COUNTIFS('Project Plan'!$B$2:$B$500,"Copilot Basic*",'Project Plan'!$G$2:$G$500,"Complete")</f>
        <v>22</v>
      </c>
      <c r="E18" s="9">
        <f>COUNTIFS('Project Plan'!$B$2:$B$500,"Copilot Basic*",'Project Plan'!$G$2:$G$500,"In Progress")</f>
        <v>29</v>
      </c>
      <c r="F18" s="9">
        <f>COUNTIFS('Project Plan'!$B$2:$B$500,"Copilot Basic*",'Project Plan'!$G$2:$G$500,"Not Started")+COUNTIFS('Project Plan'!$B$2:$B$500,"Copilot Basic*",'Project Plan'!$G$2:$G$500,"Deferred")</f>
        <v>69</v>
      </c>
      <c r="G18" s="2"/>
      <c r="H18" s="2"/>
      <c r="I18" s="2"/>
    </row>
    <row r="19" spans="1:9" ht="18" customHeight="1">
      <c r="A19" s="8" t="s">
        <v>18</v>
      </c>
      <c r="B19" s="9">
        <f>COUNTIF('Project Plan'!$B$2:$B$500,"HR Chatbot*")</f>
        <v>44</v>
      </c>
      <c r="C19" s="10">
        <f>IFERROR(AVERAGEIF('Project Plan'!$B$2:$B$500,"HR Chatbot*",'Project Plan'!$H$2:$H$500),0)</f>
        <v>0.18977272727272726</v>
      </c>
      <c r="D19" s="9">
        <f>COUNTIFS('Project Plan'!$B$2:$B$500,"HR Chatbot*",'Project Plan'!$G$2:$G$500,"Complete")</f>
        <v>7</v>
      </c>
      <c r="E19" s="9">
        <f>COUNTIFS('Project Plan'!$B$2:$B$500,"HR Chatbot*",'Project Plan'!$G$2:$G$500,"In Progress")</f>
        <v>6</v>
      </c>
      <c r="F19" s="9">
        <f>COUNTIFS('Project Plan'!$B$2:$B$500,"HR Chatbot*",'Project Plan'!$G$2:$G$500,"Not Started")+COUNTIFS('Project Plan'!$B$2:$B$500,"HR Chatbot*",'Project Plan'!$G$2:$G$500,"Deferred")</f>
        <v>31</v>
      </c>
      <c r="G19" s="2"/>
      <c r="H19" s="2"/>
      <c r="I19" s="2"/>
    </row>
    <row r="20" spans="1:9" ht="9.75" customHeight="1">
      <c r="A20" s="2"/>
      <c r="B20" s="2"/>
      <c r="C20" s="2"/>
      <c r="D20" s="2"/>
      <c r="E20" s="2"/>
      <c r="F20" s="2"/>
      <c r="G20" s="2"/>
      <c r="H20" s="2"/>
      <c r="I20" s="2"/>
    </row>
    <row r="21" spans="1:9" ht="9.75" customHeight="1"/>
  </sheetData>
  <mergeCells count="2">
    <mergeCell ref="A1:F1"/>
    <mergeCell ref="A2:F2"/>
  </mergeCells>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13D7A"/>
    <pageSetUpPr fitToPage="1"/>
  </sheetPr>
  <dimension ref="A1:G18"/>
  <sheetViews>
    <sheetView showGridLines="0" zoomScaleNormal="100" workbookViewId="0"/>
  </sheetViews>
  <sheetFormatPr defaultColWidth="8.5703125" defaultRowHeight="14.25"/>
  <cols>
    <col min="1" max="1" width="38" style="1" customWidth="1"/>
    <col min="2" max="2" width="20" style="1" customWidth="1"/>
    <col min="3" max="3" width="78" style="1" customWidth="1"/>
    <col min="4" max="4" width="14" style="1" customWidth="1"/>
    <col min="5" max="5" width="16" style="1" customWidth="1"/>
    <col min="6" max="6" width="14" style="1" customWidth="1"/>
    <col min="7" max="7" width="13" style="1" customWidth="1"/>
  </cols>
  <sheetData>
    <row r="1" spans="1:7" ht="15.75" customHeight="1">
      <c r="A1" s="97" t="s">
        <v>19</v>
      </c>
      <c r="B1" s="97"/>
      <c r="C1" s="97"/>
      <c r="D1" s="97"/>
    </row>
    <row r="2" spans="1:7" ht="28.5" customHeight="1">
      <c r="A2" s="3" t="s">
        <v>20</v>
      </c>
      <c r="B2" s="3" t="s">
        <v>21</v>
      </c>
      <c r="C2" s="3" t="s">
        <v>22</v>
      </c>
      <c r="D2" s="3" t="s">
        <v>23</v>
      </c>
      <c r="E2" s="11"/>
      <c r="F2" s="11"/>
      <c r="G2" s="11"/>
    </row>
    <row r="3" spans="1:7" ht="15.75" customHeight="1">
      <c r="A3" s="12" t="s">
        <v>24</v>
      </c>
      <c r="B3" s="13">
        <v>4041</v>
      </c>
      <c r="C3" s="13">
        <v>1236</v>
      </c>
      <c r="D3" s="14">
        <f>B3+C3</f>
        <v>5277</v>
      </c>
      <c r="E3" s="15"/>
      <c r="F3" s="15"/>
      <c r="G3" s="15"/>
    </row>
    <row r="4" spans="1:7" ht="15.75" customHeight="1">
      <c r="A4" s="12" t="s">
        <v>25</v>
      </c>
      <c r="B4" s="13">
        <v>1240</v>
      </c>
      <c r="C4" s="13">
        <v>340</v>
      </c>
      <c r="D4" s="14">
        <f>B4+C4</f>
        <v>1580</v>
      </c>
      <c r="E4" s="15"/>
      <c r="F4" s="15"/>
      <c r="G4" s="15"/>
    </row>
    <row r="5" spans="1:7" ht="15.75" customHeight="1">
      <c r="A5" s="12" t="s">
        <v>26</v>
      </c>
      <c r="B5" s="13">
        <v>325</v>
      </c>
      <c r="C5" s="13">
        <v>225</v>
      </c>
      <c r="D5" s="14">
        <f>B5+C5</f>
        <v>550</v>
      </c>
      <c r="E5" s="15"/>
      <c r="F5" s="15"/>
      <c r="G5" s="15"/>
    </row>
    <row r="6" spans="1:7" ht="15.75" customHeight="1">
      <c r="A6" s="16" t="s">
        <v>23</v>
      </c>
      <c r="B6" s="14">
        <f>SUM(B3:B5)</f>
        <v>5606</v>
      </c>
      <c r="C6" s="14">
        <f>SUM(C3:C5)</f>
        <v>1801</v>
      </c>
      <c r="D6" s="14">
        <f>SUM(D3:D5)</f>
        <v>7407</v>
      </c>
      <c r="E6" s="15"/>
      <c r="F6" s="15"/>
      <c r="G6" s="15"/>
    </row>
    <row r="7" spans="1:7" ht="19.5" customHeight="1">
      <c r="A7" s="98" t="s">
        <v>27</v>
      </c>
      <c r="B7" s="98"/>
      <c r="C7" s="98"/>
      <c r="D7" s="98"/>
      <c r="E7" s="98"/>
      <c r="F7" s="98"/>
      <c r="G7" s="98"/>
    </row>
    <row r="8" spans="1:7" ht="15.75" customHeight="1">
      <c r="A8" s="97" t="s">
        <v>28</v>
      </c>
      <c r="B8" s="97"/>
      <c r="C8" s="97"/>
      <c r="D8" s="97"/>
      <c r="E8" s="97"/>
      <c r="F8" s="97"/>
      <c r="G8" s="97"/>
    </row>
    <row r="9" spans="1:7" ht="28.5" customHeight="1">
      <c r="A9" s="3" t="s">
        <v>29</v>
      </c>
      <c r="B9" s="3" t="s">
        <v>30</v>
      </c>
      <c r="C9" s="3" t="s">
        <v>31</v>
      </c>
      <c r="D9" s="3" t="s">
        <v>32</v>
      </c>
      <c r="E9" s="3" t="s">
        <v>33</v>
      </c>
      <c r="F9" s="3" t="s">
        <v>34</v>
      </c>
      <c r="G9" s="3" t="s">
        <v>35</v>
      </c>
    </row>
    <row r="10" spans="1:7" ht="28.5" customHeight="1">
      <c r="A10" s="12" t="s">
        <v>36</v>
      </c>
      <c r="B10" s="12" t="s">
        <v>37</v>
      </c>
      <c r="C10" s="17">
        <f>B6</f>
        <v>5606</v>
      </c>
      <c r="D10" s="18" t="s">
        <v>38</v>
      </c>
      <c r="E10" s="19">
        <v>3</v>
      </c>
      <c r="F10" s="13">
        <v>6</v>
      </c>
      <c r="G10" s="14">
        <f>ROUNDUP(F10/E10,0)</f>
        <v>2</v>
      </c>
    </row>
    <row r="11" spans="1:7" ht="28.5" customHeight="1">
      <c r="A11" s="20" t="s">
        <v>39</v>
      </c>
      <c r="B11" s="20" t="s">
        <v>40</v>
      </c>
      <c r="C11" s="21">
        <f>C6</f>
        <v>1801</v>
      </c>
      <c r="D11" s="22">
        <v>40</v>
      </c>
      <c r="E11" s="23">
        <v>2</v>
      </c>
      <c r="F11" s="24">
        <f>ROUNDUP(C11/D11,0)</f>
        <v>46</v>
      </c>
      <c r="G11" s="24">
        <f>ROUNDUP(F11/E11,0)</f>
        <v>23</v>
      </c>
    </row>
    <row r="12" spans="1:7" ht="25.5" customHeight="1">
      <c r="A12" s="98" t="s">
        <v>41</v>
      </c>
      <c r="B12" s="98"/>
      <c r="C12" s="98"/>
      <c r="D12" s="98"/>
      <c r="E12" s="98"/>
      <c r="F12" s="98"/>
      <c r="G12" s="98"/>
    </row>
    <row r="13" spans="1:7" ht="13.5" customHeight="1">
      <c r="A13" s="25" t="s">
        <v>42</v>
      </c>
    </row>
    <row r="14" spans="1:7" ht="15.75" customHeight="1">
      <c r="A14" s="3" t="s">
        <v>43</v>
      </c>
      <c r="B14" s="3" t="s">
        <v>44</v>
      </c>
      <c r="C14" s="3" t="s">
        <v>45</v>
      </c>
      <c r="D14" s="11"/>
      <c r="E14" s="11"/>
      <c r="F14" s="11"/>
      <c r="G14" s="11"/>
    </row>
    <row r="15" spans="1:7" ht="43.5" customHeight="1">
      <c r="A15" s="12" t="s">
        <v>46</v>
      </c>
      <c r="B15" s="26">
        <v>46335</v>
      </c>
      <c r="C15" s="12" t="s">
        <v>47</v>
      </c>
      <c r="D15" s="15"/>
      <c r="E15" s="15"/>
      <c r="F15" s="15"/>
      <c r="G15" s="15"/>
    </row>
    <row r="16" spans="1:7" ht="43.5" customHeight="1">
      <c r="A16" s="12" t="s">
        <v>48</v>
      </c>
      <c r="B16" s="14">
        <f>G10</f>
        <v>2</v>
      </c>
      <c r="C16" s="12" t="s">
        <v>49</v>
      </c>
      <c r="D16" s="15"/>
      <c r="E16" s="15"/>
      <c r="F16" s="15"/>
      <c r="G16" s="15"/>
    </row>
    <row r="17" spans="1:7" ht="43.5" customHeight="1">
      <c r="A17" s="12" t="s">
        <v>50</v>
      </c>
      <c r="B17" s="27">
        <f>B15+(B16*7)-1</f>
        <v>46348</v>
      </c>
      <c r="C17" s="12" t="s">
        <v>51</v>
      </c>
      <c r="D17" s="15"/>
      <c r="E17" s="15"/>
      <c r="F17" s="15"/>
      <c r="G17" s="15"/>
    </row>
    <row r="18" spans="1:7" ht="43.5" customHeight="1">
      <c r="A18" s="12" t="s">
        <v>52</v>
      </c>
      <c r="B18" s="28">
        <f>ROUND((B17-B15)/30.4,1)</f>
        <v>0.4</v>
      </c>
      <c r="C18" s="12" t="s">
        <v>53</v>
      </c>
      <c r="D18" s="15"/>
      <c r="E18" s="15"/>
      <c r="F18" s="15"/>
      <c r="G18" s="15"/>
    </row>
  </sheetData>
  <mergeCells count="4">
    <mergeCell ref="A1:D1"/>
    <mergeCell ref="A7:G7"/>
    <mergeCell ref="A8:G8"/>
    <mergeCell ref="A12:G12"/>
  </mergeCells>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13D7A"/>
    <pageSetUpPr fitToPage="1"/>
  </sheetPr>
  <dimension ref="A1:C22"/>
  <sheetViews>
    <sheetView showGridLines="0" zoomScaleNormal="100" workbookViewId="0">
      <pane ySplit="1" topLeftCell="A2" activePane="bottomLeft" state="frozen"/>
      <selection pane="bottomLeft" activeCell="C18" sqref="C18"/>
    </sheetView>
  </sheetViews>
  <sheetFormatPr defaultColWidth="8.5703125" defaultRowHeight="14.25"/>
  <cols>
    <col min="1" max="1" width="18.5703125" style="1" customWidth="1"/>
    <col min="2" max="2" width="22.140625" style="1" customWidth="1"/>
    <col min="3" max="3" width="60" style="1" customWidth="1"/>
  </cols>
  <sheetData>
    <row r="1" spans="1:3" ht="15.75" customHeight="1">
      <c r="A1" s="3" t="s">
        <v>54</v>
      </c>
      <c r="B1" s="3" t="s">
        <v>55</v>
      </c>
      <c r="C1" s="3" t="s">
        <v>56</v>
      </c>
    </row>
    <row r="2" spans="1:3" ht="28.5" customHeight="1">
      <c r="A2" s="29" t="s">
        <v>57</v>
      </c>
      <c r="B2" s="30" t="s">
        <v>58</v>
      </c>
      <c r="C2" s="30" t="s">
        <v>59</v>
      </c>
    </row>
    <row r="3" spans="1:3" ht="28.5" customHeight="1">
      <c r="A3" s="29" t="s">
        <v>60</v>
      </c>
      <c r="B3" s="30" t="s">
        <v>61</v>
      </c>
      <c r="C3" s="30" t="s">
        <v>62</v>
      </c>
    </row>
    <row r="4" spans="1:3" ht="40.5" customHeight="1">
      <c r="A4" s="29" t="s">
        <v>63</v>
      </c>
      <c r="B4" s="30" t="s">
        <v>64</v>
      </c>
      <c r="C4" s="30" t="s">
        <v>65</v>
      </c>
    </row>
    <row r="5" spans="1:3" ht="15.75" customHeight="1">
      <c r="A5" s="29" t="s">
        <v>66</v>
      </c>
      <c r="B5" s="30" t="s">
        <v>67</v>
      </c>
      <c r="C5" s="30" t="s">
        <v>68</v>
      </c>
    </row>
    <row r="6" spans="1:3" ht="28.5" customHeight="1">
      <c r="A6" s="29" t="s">
        <v>69</v>
      </c>
      <c r="B6" s="30" t="s">
        <v>70</v>
      </c>
      <c r="C6" s="30" t="s">
        <v>68</v>
      </c>
    </row>
    <row r="7" spans="1:3" ht="28.5" customHeight="1">
      <c r="A7" s="29" t="s">
        <v>71</v>
      </c>
      <c r="B7" s="30" t="s">
        <v>64</v>
      </c>
      <c r="C7" s="30" t="s">
        <v>72</v>
      </c>
    </row>
    <row r="8" spans="1:3" ht="28.5" customHeight="1">
      <c r="A8" s="29" t="s">
        <v>73</v>
      </c>
      <c r="B8" s="30" t="s">
        <v>64</v>
      </c>
      <c r="C8" s="30" t="s">
        <v>74</v>
      </c>
    </row>
    <row r="9" spans="1:3" ht="28.5" customHeight="1">
      <c r="A9" s="29" t="s">
        <v>75</v>
      </c>
      <c r="B9" s="30" t="s">
        <v>76</v>
      </c>
      <c r="C9" s="30" t="s">
        <v>77</v>
      </c>
    </row>
    <row r="10" spans="1:3" ht="28.5" customHeight="1">
      <c r="A10" s="29" t="s">
        <v>78</v>
      </c>
      <c r="B10" s="30" t="s">
        <v>79</v>
      </c>
      <c r="C10" s="30" t="s">
        <v>80</v>
      </c>
    </row>
    <row r="11" spans="1:3" ht="15.75" customHeight="1">
      <c r="A11" s="29" t="s">
        <v>81</v>
      </c>
      <c r="B11" s="30" t="s">
        <v>82</v>
      </c>
      <c r="C11" s="30" t="s">
        <v>83</v>
      </c>
    </row>
    <row r="12" spans="1:3" ht="28.5" customHeight="1">
      <c r="A12" s="29" t="s">
        <v>84</v>
      </c>
      <c r="B12" s="30" t="s">
        <v>85</v>
      </c>
      <c r="C12" s="30" t="s">
        <v>86</v>
      </c>
    </row>
    <row r="13" spans="1:3" ht="28.5" customHeight="1">
      <c r="A13" s="29" t="s">
        <v>87</v>
      </c>
      <c r="B13" s="30" t="s">
        <v>61</v>
      </c>
      <c r="C13" s="30" t="s">
        <v>88</v>
      </c>
    </row>
    <row r="14" spans="1:3" ht="28.5" customHeight="1">
      <c r="A14" s="29" t="s">
        <v>89</v>
      </c>
      <c r="B14" s="30" t="s">
        <v>90</v>
      </c>
      <c r="C14" s="30" t="s">
        <v>91</v>
      </c>
    </row>
    <row r="15" spans="1:3" ht="15.75" customHeight="1">
      <c r="A15" s="29" t="s">
        <v>92</v>
      </c>
      <c r="B15" s="30" t="s">
        <v>93</v>
      </c>
      <c r="C15" s="30" t="s">
        <v>94</v>
      </c>
    </row>
    <row r="16" spans="1:3" ht="28.5" customHeight="1">
      <c r="A16" s="29" t="s">
        <v>95</v>
      </c>
      <c r="B16" s="30" t="s">
        <v>96</v>
      </c>
      <c r="C16" s="30" t="s">
        <v>97</v>
      </c>
    </row>
    <row r="17" spans="1:3" ht="28.5" customHeight="1">
      <c r="A17" s="29" t="s">
        <v>98</v>
      </c>
      <c r="B17" s="30" t="s">
        <v>99</v>
      </c>
      <c r="C17" s="30" t="s">
        <v>100</v>
      </c>
    </row>
    <row r="18" spans="1:3" ht="28.5" customHeight="1">
      <c r="A18" s="29" t="s">
        <v>101</v>
      </c>
      <c r="B18" s="30" t="s">
        <v>102</v>
      </c>
      <c r="C18" s="30" t="s">
        <v>103</v>
      </c>
    </row>
    <row r="19" spans="1:3" ht="28.5" customHeight="1">
      <c r="A19" s="29" t="s">
        <v>104</v>
      </c>
      <c r="B19" s="30" t="s">
        <v>58</v>
      </c>
      <c r="C19" s="30" t="s">
        <v>105</v>
      </c>
    </row>
    <row r="20" spans="1:3" ht="15.75" customHeight="1">
      <c r="A20" s="29" t="s">
        <v>106</v>
      </c>
      <c r="B20" s="30" t="s">
        <v>107</v>
      </c>
      <c r="C20" s="30" t="s">
        <v>108</v>
      </c>
    </row>
    <row r="21" spans="1:3" ht="15.75" customHeight="1">
      <c r="A21" s="29" t="s">
        <v>109</v>
      </c>
      <c r="B21" s="30" t="s">
        <v>110</v>
      </c>
      <c r="C21" s="30" t="s">
        <v>111</v>
      </c>
    </row>
    <row r="22" spans="1:3" ht="15.75" customHeight="1">
      <c r="A22" s="29" t="s">
        <v>109</v>
      </c>
      <c r="B22" s="30" t="s">
        <v>82</v>
      </c>
      <c r="C22" s="30" t="s">
        <v>112</v>
      </c>
    </row>
  </sheetData>
  <printOptions horizontalCentered="1"/>
  <pageMargins left="0.5" right="0.5" top="0.75"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13D7A"/>
    <pageSetUpPr fitToPage="1"/>
  </sheetPr>
  <dimension ref="A1:J165"/>
  <sheetViews>
    <sheetView showGridLines="0" tabSelected="1" zoomScaleNormal="100" workbookViewId="0">
      <pane ySplit="1" topLeftCell="A15" activePane="bottomLeft" state="frozen"/>
      <selection pane="bottomLeft" activeCell="E134" sqref="E134"/>
    </sheetView>
  </sheetViews>
  <sheetFormatPr defaultColWidth="8.5703125" defaultRowHeight="14.25"/>
  <cols>
    <col min="1" max="1" width="6" style="1" customWidth="1"/>
    <col min="2" max="2" width="22" style="1" customWidth="1"/>
    <col min="3" max="3" width="11" style="1" customWidth="1"/>
    <col min="4" max="4" width="38" style="1" customWidth="1"/>
    <col min="5" max="5" width="30" style="1" customWidth="1"/>
    <col min="6" max="6" width="12" style="1" customWidth="1"/>
    <col min="7" max="7" width="13" style="1" customWidth="1"/>
    <col min="8" max="8" width="11" style="1" customWidth="1"/>
    <col min="9" max="9" width="48" style="1" customWidth="1"/>
    <col min="10" max="10" width="22" style="1" customWidth="1"/>
  </cols>
  <sheetData>
    <row r="1" spans="1:10" ht="15.75" customHeight="1">
      <c r="A1" s="3" t="s">
        <v>113</v>
      </c>
      <c r="B1" s="3" t="s">
        <v>114</v>
      </c>
      <c r="C1" s="3" t="s">
        <v>115</v>
      </c>
      <c r="D1" s="3" t="s">
        <v>116</v>
      </c>
      <c r="E1" s="3" t="s">
        <v>117</v>
      </c>
      <c r="F1" s="3" t="s">
        <v>118</v>
      </c>
      <c r="G1" s="3" t="s">
        <v>119</v>
      </c>
      <c r="H1" s="3" t="s">
        <v>4</v>
      </c>
      <c r="I1" s="3" t="s">
        <v>120</v>
      </c>
      <c r="J1" s="3" t="s">
        <v>121</v>
      </c>
    </row>
    <row r="2" spans="1:10" ht="79.5" customHeight="1">
      <c r="A2" s="31">
        <v>1</v>
      </c>
      <c r="B2" s="32" t="s">
        <v>10</v>
      </c>
      <c r="C2" s="32" t="s">
        <v>122</v>
      </c>
      <c r="D2" s="32" t="s">
        <v>123</v>
      </c>
      <c r="E2" s="32" t="s">
        <v>124</v>
      </c>
      <c r="F2" s="33">
        <v>46258</v>
      </c>
      <c r="G2" s="32" t="s">
        <v>5</v>
      </c>
      <c r="H2" s="34">
        <v>1</v>
      </c>
      <c r="I2" s="32" t="s">
        <v>125</v>
      </c>
      <c r="J2" s="32" t="s">
        <v>126</v>
      </c>
    </row>
    <row r="3" spans="1:10" ht="40.5" customHeight="1">
      <c r="A3" s="31">
        <v>2</v>
      </c>
      <c r="B3" s="32" t="s">
        <v>10</v>
      </c>
      <c r="C3" s="32" t="s">
        <v>127</v>
      </c>
      <c r="D3" s="32" t="s">
        <v>128</v>
      </c>
      <c r="E3" s="32" t="s">
        <v>129</v>
      </c>
      <c r="F3" s="33">
        <v>46255</v>
      </c>
      <c r="G3" s="32" t="s">
        <v>5</v>
      </c>
      <c r="H3" s="34">
        <v>1</v>
      </c>
      <c r="I3" s="32" t="s">
        <v>130</v>
      </c>
      <c r="J3" s="32" t="s">
        <v>126</v>
      </c>
    </row>
    <row r="4" spans="1:10" ht="54" customHeight="1">
      <c r="A4" s="31">
        <v>3</v>
      </c>
      <c r="B4" s="32" t="s">
        <v>10</v>
      </c>
      <c r="C4" s="32" t="s">
        <v>122</v>
      </c>
      <c r="D4" s="32" t="s">
        <v>131</v>
      </c>
      <c r="E4" s="32" t="s">
        <v>132</v>
      </c>
      <c r="F4" s="33">
        <v>46259</v>
      </c>
      <c r="G4" s="32" t="s">
        <v>5</v>
      </c>
      <c r="H4" s="34">
        <v>1</v>
      </c>
      <c r="I4" s="32" t="s">
        <v>133</v>
      </c>
      <c r="J4" s="32" t="s">
        <v>126</v>
      </c>
    </row>
    <row r="5" spans="1:10" ht="40.5" customHeight="1">
      <c r="A5" s="35">
        <v>4</v>
      </c>
      <c r="B5" s="36" t="s">
        <v>10</v>
      </c>
      <c r="C5" s="37" t="s">
        <v>134</v>
      </c>
      <c r="D5" s="38" t="s">
        <v>135</v>
      </c>
      <c r="E5" s="36" t="s">
        <v>136</v>
      </c>
      <c r="F5" s="39">
        <v>46258</v>
      </c>
      <c r="G5" s="36" t="s">
        <v>6</v>
      </c>
      <c r="H5" s="40">
        <v>0.1</v>
      </c>
      <c r="I5" s="36" t="s">
        <v>137</v>
      </c>
      <c r="J5" s="36" t="s">
        <v>126</v>
      </c>
    </row>
    <row r="6" spans="1:10" ht="142.5" customHeight="1">
      <c r="A6" s="31">
        <v>5</v>
      </c>
      <c r="B6" s="32" t="s">
        <v>10</v>
      </c>
      <c r="C6" s="32" t="s">
        <v>127</v>
      </c>
      <c r="D6" s="32" t="s">
        <v>138</v>
      </c>
      <c r="E6" s="32" t="s">
        <v>139</v>
      </c>
      <c r="F6" s="33">
        <v>46276</v>
      </c>
      <c r="G6" s="32" t="s">
        <v>5</v>
      </c>
      <c r="H6" s="34">
        <v>1</v>
      </c>
      <c r="I6" s="32" t="s">
        <v>140</v>
      </c>
      <c r="J6" s="32" t="s">
        <v>126</v>
      </c>
    </row>
    <row r="7" spans="1:10" ht="79.5" customHeight="1">
      <c r="A7" s="31">
        <v>6</v>
      </c>
      <c r="B7" s="32" t="s">
        <v>10</v>
      </c>
      <c r="C7" s="32" t="s">
        <v>127</v>
      </c>
      <c r="D7" s="32" t="s">
        <v>141</v>
      </c>
      <c r="E7" s="32" t="s">
        <v>57</v>
      </c>
      <c r="F7" s="33">
        <v>46258</v>
      </c>
      <c r="G7" s="32" t="s">
        <v>5</v>
      </c>
      <c r="H7" s="34">
        <v>1</v>
      </c>
      <c r="I7" s="32" t="s">
        <v>142</v>
      </c>
      <c r="J7" s="32" t="s">
        <v>126</v>
      </c>
    </row>
    <row r="8" spans="1:10" ht="54" customHeight="1">
      <c r="A8" s="31">
        <v>7</v>
      </c>
      <c r="B8" s="32" t="s">
        <v>10</v>
      </c>
      <c r="C8" s="32" t="s">
        <v>127</v>
      </c>
      <c r="D8" s="32" t="s">
        <v>143</v>
      </c>
      <c r="E8" s="32" t="s">
        <v>144</v>
      </c>
      <c r="F8" s="33">
        <v>46258</v>
      </c>
      <c r="G8" s="32" t="s">
        <v>5</v>
      </c>
      <c r="H8" s="34">
        <v>1</v>
      </c>
      <c r="I8" s="32" t="s">
        <v>145</v>
      </c>
      <c r="J8" s="32" t="s">
        <v>146</v>
      </c>
    </row>
    <row r="9" spans="1:10" ht="91.5" customHeight="1">
      <c r="A9" s="31">
        <v>8</v>
      </c>
      <c r="B9" s="32" t="s">
        <v>10</v>
      </c>
      <c r="C9" s="32" t="s">
        <v>127</v>
      </c>
      <c r="D9" s="32" t="s">
        <v>147</v>
      </c>
      <c r="E9" s="32" t="s">
        <v>148</v>
      </c>
      <c r="F9" s="33">
        <v>46289</v>
      </c>
      <c r="G9" s="32" t="s">
        <v>6</v>
      </c>
      <c r="H9" s="34">
        <v>0.25</v>
      </c>
      <c r="I9" s="32" t="s">
        <v>149</v>
      </c>
      <c r="J9" s="32" t="s">
        <v>146</v>
      </c>
    </row>
    <row r="10" spans="1:10" ht="40.5" customHeight="1">
      <c r="A10" s="31">
        <v>9</v>
      </c>
      <c r="B10" s="32" t="s">
        <v>10</v>
      </c>
      <c r="C10" s="32" t="s">
        <v>127</v>
      </c>
      <c r="D10" s="32" t="s">
        <v>150</v>
      </c>
      <c r="E10" s="32" t="s">
        <v>151</v>
      </c>
      <c r="F10" s="33">
        <v>46276</v>
      </c>
      <c r="G10" s="32" t="s">
        <v>6</v>
      </c>
      <c r="H10" s="34">
        <v>0.25</v>
      </c>
      <c r="I10" s="32" t="s">
        <v>152</v>
      </c>
      <c r="J10" s="32" t="s">
        <v>146</v>
      </c>
    </row>
    <row r="11" spans="1:10" ht="40.5" customHeight="1">
      <c r="A11" s="31">
        <v>10</v>
      </c>
      <c r="B11" s="32" t="s">
        <v>10</v>
      </c>
      <c r="C11" s="32" t="s">
        <v>127</v>
      </c>
      <c r="D11" s="32" t="s">
        <v>153</v>
      </c>
      <c r="E11" s="32" t="s">
        <v>154</v>
      </c>
      <c r="F11" s="33">
        <v>46276</v>
      </c>
      <c r="G11" s="32" t="s">
        <v>6</v>
      </c>
      <c r="H11" s="34">
        <v>0.25</v>
      </c>
      <c r="I11" s="32" t="s">
        <v>155</v>
      </c>
      <c r="J11" s="32" t="s">
        <v>146</v>
      </c>
    </row>
    <row r="12" spans="1:10" ht="91.5" customHeight="1">
      <c r="A12" s="31">
        <v>11</v>
      </c>
      <c r="B12" s="32" t="s">
        <v>10</v>
      </c>
      <c r="C12" s="32" t="s">
        <v>127</v>
      </c>
      <c r="D12" s="32" t="s">
        <v>156</v>
      </c>
      <c r="E12" s="32" t="s">
        <v>157</v>
      </c>
      <c r="F12" s="33">
        <v>46276</v>
      </c>
      <c r="G12" s="32" t="s">
        <v>6</v>
      </c>
      <c r="H12" s="34">
        <v>0.25</v>
      </c>
      <c r="I12" s="32" t="s">
        <v>158</v>
      </c>
      <c r="J12" s="32" t="s">
        <v>159</v>
      </c>
    </row>
    <row r="13" spans="1:10" ht="40.5" customHeight="1">
      <c r="A13" s="31">
        <v>12</v>
      </c>
      <c r="B13" s="32" t="s">
        <v>10</v>
      </c>
      <c r="C13" s="32" t="s">
        <v>127</v>
      </c>
      <c r="D13" s="32" t="s">
        <v>160</v>
      </c>
      <c r="E13" s="32" t="s">
        <v>161</v>
      </c>
      <c r="F13" s="33">
        <v>46276</v>
      </c>
      <c r="G13" s="32" t="s">
        <v>6</v>
      </c>
      <c r="H13" s="34">
        <v>0.25</v>
      </c>
      <c r="I13" s="32" t="s">
        <v>162</v>
      </c>
      <c r="J13" s="32" t="s">
        <v>159</v>
      </c>
    </row>
    <row r="14" spans="1:10" ht="54" customHeight="1">
      <c r="A14" s="31">
        <v>13</v>
      </c>
      <c r="B14" s="32" t="s">
        <v>10</v>
      </c>
      <c r="C14" s="32" t="s">
        <v>127</v>
      </c>
      <c r="D14" s="32" t="s">
        <v>163</v>
      </c>
      <c r="E14" s="32" t="s">
        <v>164</v>
      </c>
      <c r="F14" s="33">
        <v>46276</v>
      </c>
      <c r="G14" s="32" t="s">
        <v>5</v>
      </c>
      <c r="H14" s="34">
        <v>1</v>
      </c>
      <c r="I14" s="32" t="s">
        <v>165</v>
      </c>
      <c r="J14" s="32" t="s">
        <v>126</v>
      </c>
    </row>
    <row r="15" spans="1:10" ht="156" customHeight="1">
      <c r="A15" s="31">
        <v>14</v>
      </c>
      <c r="B15" s="32" t="s">
        <v>10</v>
      </c>
      <c r="C15" s="32" t="s">
        <v>127</v>
      </c>
      <c r="D15" s="32" t="s">
        <v>166</v>
      </c>
      <c r="E15" s="32" t="s">
        <v>167</v>
      </c>
      <c r="F15" s="33">
        <v>46276</v>
      </c>
      <c r="G15" s="32" t="s">
        <v>6</v>
      </c>
      <c r="H15" s="34">
        <v>0.2</v>
      </c>
      <c r="I15" s="32" t="s">
        <v>168</v>
      </c>
      <c r="J15" s="32" t="s">
        <v>126</v>
      </c>
    </row>
    <row r="16" spans="1:10" ht="207" customHeight="1">
      <c r="A16" s="31">
        <v>15</v>
      </c>
      <c r="B16" s="32" t="s">
        <v>10</v>
      </c>
      <c r="C16" s="32" t="s">
        <v>127</v>
      </c>
      <c r="D16" s="32" t="s">
        <v>169</v>
      </c>
      <c r="E16" s="32" t="s">
        <v>170</v>
      </c>
      <c r="F16" s="33">
        <v>46276</v>
      </c>
      <c r="G16" s="32" t="s">
        <v>6</v>
      </c>
      <c r="H16" s="34">
        <v>0.2</v>
      </c>
      <c r="I16" s="32" t="s">
        <v>171</v>
      </c>
      <c r="J16" s="32" t="s">
        <v>126</v>
      </c>
    </row>
    <row r="17" spans="1:10" ht="193.5" customHeight="1">
      <c r="A17" s="31">
        <v>16</v>
      </c>
      <c r="B17" s="32" t="s">
        <v>10</v>
      </c>
      <c r="C17" s="41" t="s">
        <v>127</v>
      </c>
      <c r="D17" s="32" t="s">
        <v>172</v>
      </c>
      <c r="E17" s="32" t="s">
        <v>173</v>
      </c>
      <c r="F17" s="33">
        <v>46297</v>
      </c>
      <c r="G17" s="32" t="s">
        <v>6</v>
      </c>
      <c r="H17" s="34">
        <v>0.15</v>
      </c>
      <c r="I17" s="32" t="s">
        <v>174</v>
      </c>
      <c r="J17" s="32" t="s">
        <v>126</v>
      </c>
    </row>
    <row r="18" spans="1:10" ht="40.5" customHeight="1">
      <c r="A18" s="31">
        <v>17</v>
      </c>
      <c r="B18" s="32" t="s">
        <v>10</v>
      </c>
      <c r="C18" s="41" t="s">
        <v>122</v>
      </c>
      <c r="D18" s="32" t="s">
        <v>175</v>
      </c>
      <c r="E18" s="32" t="s">
        <v>139</v>
      </c>
      <c r="F18" s="33">
        <v>46279</v>
      </c>
      <c r="G18" s="32" t="s">
        <v>5</v>
      </c>
      <c r="H18" s="34">
        <v>1</v>
      </c>
      <c r="I18" s="32" t="s">
        <v>176</v>
      </c>
      <c r="J18" s="32" t="s">
        <v>126</v>
      </c>
    </row>
    <row r="19" spans="1:10" ht="105" customHeight="1">
      <c r="A19" s="31">
        <v>18</v>
      </c>
      <c r="B19" s="32" t="s">
        <v>10</v>
      </c>
      <c r="C19" s="41" t="s">
        <v>127</v>
      </c>
      <c r="D19" s="32" t="s">
        <v>177</v>
      </c>
      <c r="E19" s="32" t="s">
        <v>95</v>
      </c>
      <c r="F19" s="33">
        <v>46323</v>
      </c>
      <c r="G19" s="32" t="s">
        <v>6</v>
      </c>
      <c r="H19" s="34">
        <v>0.25</v>
      </c>
      <c r="I19" s="32" t="s">
        <v>178</v>
      </c>
      <c r="J19" s="32" t="s">
        <v>126</v>
      </c>
    </row>
    <row r="20" spans="1:10" ht="54" customHeight="1">
      <c r="A20" s="35">
        <v>19</v>
      </c>
      <c r="B20" s="36" t="s">
        <v>10</v>
      </c>
      <c r="C20" s="37" t="s">
        <v>134</v>
      </c>
      <c r="D20" s="38" t="s">
        <v>179</v>
      </c>
      <c r="E20" s="36" t="s">
        <v>136</v>
      </c>
      <c r="F20" s="39">
        <v>46262</v>
      </c>
      <c r="G20" s="36" t="s">
        <v>6</v>
      </c>
      <c r="H20" s="40">
        <v>0.75</v>
      </c>
      <c r="I20" s="36" t="s">
        <v>180</v>
      </c>
      <c r="J20" s="36" t="s">
        <v>159</v>
      </c>
    </row>
    <row r="21" spans="1:10" ht="142.5" customHeight="1">
      <c r="A21" s="31">
        <v>20</v>
      </c>
      <c r="B21" s="32" t="s">
        <v>10</v>
      </c>
      <c r="C21" s="32" t="s">
        <v>127</v>
      </c>
      <c r="D21" s="32" t="s">
        <v>181</v>
      </c>
      <c r="E21" s="32" t="s">
        <v>182</v>
      </c>
      <c r="F21" s="33">
        <v>46262</v>
      </c>
      <c r="G21" s="32" t="s">
        <v>5</v>
      </c>
      <c r="H21" s="34">
        <v>1</v>
      </c>
      <c r="I21" s="32" t="s">
        <v>183</v>
      </c>
      <c r="J21" s="32" t="s">
        <v>159</v>
      </c>
    </row>
    <row r="22" spans="1:10" ht="79.5" customHeight="1">
      <c r="A22" s="31">
        <v>21</v>
      </c>
      <c r="B22" s="32" t="s">
        <v>10</v>
      </c>
      <c r="C22" s="32" t="s">
        <v>127</v>
      </c>
      <c r="D22" s="32" t="s">
        <v>184</v>
      </c>
      <c r="E22" s="32" t="s">
        <v>136</v>
      </c>
      <c r="F22" s="33"/>
      <c r="G22" s="32" t="s">
        <v>185</v>
      </c>
      <c r="H22" s="34">
        <v>1</v>
      </c>
      <c r="I22" s="32" t="s">
        <v>186</v>
      </c>
      <c r="J22" s="32" t="s">
        <v>126</v>
      </c>
    </row>
    <row r="23" spans="1:10" ht="168.75" customHeight="1">
      <c r="A23" s="31">
        <v>22</v>
      </c>
      <c r="B23" s="32" t="s">
        <v>10</v>
      </c>
      <c r="C23" s="32" t="s">
        <v>127</v>
      </c>
      <c r="D23" s="32" t="s">
        <v>187</v>
      </c>
      <c r="E23" s="32" t="s">
        <v>188</v>
      </c>
      <c r="F23" s="33">
        <v>46262</v>
      </c>
      <c r="G23" s="32" t="s">
        <v>5</v>
      </c>
      <c r="H23" s="34">
        <v>1</v>
      </c>
      <c r="I23" s="32" t="s">
        <v>189</v>
      </c>
      <c r="J23" s="32" t="s">
        <v>159</v>
      </c>
    </row>
    <row r="24" spans="1:10" ht="40.5" customHeight="1">
      <c r="A24" s="35">
        <v>23</v>
      </c>
      <c r="B24" s="36" t="s">
        <v>10</v>
      </c>
      <c r="C24" s="37" t="s">
        <v>134</v>
      </c>
      <c r="D24" s="38" t="s">
        <v>190</v>
      </c>
      <c r="E24" s="36" t="s">
        <v>136</v>
      </c>
      <c r="F24" s="39">
        <v>46269</v>
      </c>
      <c r="G24" s="36" t="s">
        <v>5</v>
      </c>
      <c r="H24" s="40">
        <v>1</v>
      </c>
      <c r="I24" s="36" t="s">
        <v>191</v>
      </c>
      <c r="J24" s="36" t="s">
        <v>126</v>
      </c>
    </row>
    <row r="25" spans="1:10" ht="193.5" customHeight="1">
      <c r="A25" s="31">
        <v>24</v>
      </c>
      <c r="B25" s="32" t="s">
        <v>10</v>
      </c>
      <c r="C25" s="32" t="s">
        <v>127</v>
      </c>
      <c r="D25" s="32" t="s">
        <v>192</v>
      </c>
      <c r="E25" s="32" t="s">
        <v>193</v>
      </c>
      <c r="F25" s="33">
        <v>46269</v>
      </c>
      <c r="G25" s="32" t="s">
        <v>5</v>
      </c>
      <c r="H25" s="34">
        <v>1</v>
      </c>
      <c r="I25" s="32" t="s">
        <v>194</v>
      </c>
      <c r="J25" s="32" t="s">
        <v>159</v>
      </c>
    </row>
    <row r="26" spans="1:10" ht="117.75" customHeight="1">
      <c r="A26" s="31">
        <v>25</v>
      </c>
      <c r="B26" s="32" t="s">
        <v>10</v>
      </c>
      <c r="C26" s="32" t="s">
        <v>127</v>
      </c>
      <c r="D26" s="32" t="s">
        <v>195</v>
      </c>
      <c r="E26" s="32" t="s">
        <v>193</v>
      </c>
      <c r="F26" s="33">
        <v>46269</v>
      </c>
      <c r="G26" s="32" t="s">
        <v>5</v>
      </c>
      <c r="H26" s="34">
        <v>1</v>
      </c>
      <c r="I26" s="32" t="s">
        <v>196</v>
      </c>
      <c r="J26" s="32" t="s">
        <v>159</v>
      </c>
    </row>
    <row r="27" spans="1:10" ht="168.75" customHeight="1">
      <c r="A27" s="31">
        <v>26</v>
      </c>
      <c r="B27" s="32" t="s">
        <v>10</v>
      </c>
      <c r="C27" s="32" t="s">
        <v>127</v>
      </c>
      <c r="D27" s="32" t="s">
        <v>197</v>
      </c>
      <c r="E27" s="32" t="s">
        <v>198</v>
      </c>
      <c r="F27" s="33">
        <v>46269</v>
      </c>
      <c r="G27" s="32" t="s">
        <v>5</v>
      </c>
      <c r="H27" s="34">
        <v>1</v>
      </c>
      <c r="I27" s="32" t="s">
        <v>199</v>
      </c>
      <c r="J27" s="32" t="s">
        <v>159</v>
      </c>
    </row>
    <row r="28" spans="1:10" ht="40.5" customHeight="1">
      <c r="A28" s="31">
        <v>27</v>
      </c>
      <c r="B28" s="32" t="s">
        <v>10</v>
      </c>
      <c r="C28" s="32" t="s">
        <v>127</v>
      </c>
      <c r="D28" s="32" t="s">
        <v>200</v>
      </c>
      <c r="E28" s="32" t="s">
        <v>201</v>
      </c>
      <c r="F28" s="33">
        <v>46269</v>
      </c>
      <c r="G28" s="32" t="s">
        <v>185</v>
      </c>
      <c r="H28" s="34">
        <v>1</v>
      </c>
      <c r="I28" s="32" t="s">
        <v>202</v>
      </c>
      <c r="J28" s="32" t="s">
        <v>126</v>
      </c>
    </row>
    <row r="29" spans="1:10" ht="54" customHeight="1">
      <c r="A29" s="31">
        <v>28</v>
      </c>
      <c r="B29" s="32" t="s">
        <v>10</v>
      </c>
      <c r="C29" s="32" t="s">
        <v>127</v>
      </c>
      <c r="D29" s="32" t="s">
        <v>203</v>
      </c>
      <c r="E29" s="32" t="s">
        <v>204</v>
      </c>
      <c r="F29" s="33">
        <v>46269</v>
      </c>
      <c r="G29" s="32" t="s">
        <v>6</v>
      </c>
      <c r="H29" s="34">
        <v>0.75</v>
      </c>
      <c r="I29" s="32" t="s">
        <v>205</v>
      </c>
      <c r="J29" s="32" t="s">
        <v>206</v>
      </c>
    </row>
    <row r="30" spans="1:10" ht="105" customHeight="1">
      <c r="A30" s="31">
        <v>29</v>
      </c>
      <c r="B30" s="32" t="s">
        <v>10</v>
      </c>
      <c r="C30" s="32" t="s">
        <v>127</v>
      </c>
      <c r="D30" s="32" t="s">
        <v>207</v>
      </c>
      <c r="E30" s="32" t="s">
        <v>208</v>
      </c>
      <c r="F30" s="33">
        <v>46276</v>
      </c>
      <c r="G30" s="32" t="s">
        <v>185</v>
      </c>
      <c r="H30" s="34">
        <v>1</v>
      </c>
      <c r="I30" s="32" t="s">
        <v>209</v>
      </c>
      <c r="J30" s="32" t="s">
        <v>126</v>
      </c>
    </row>
    <row r="31" spans="1:10" ht="40.5" customHeight="1">
      <c r="A31" s="31">
        <v>30</v>
      </c>
      <c r="B31" s="32" t="s">
        <v>10</v>
      </c>
      <c r="C31" s="32" t="s">
        <v>127</v>
      </c>
      <c r="D31" s="32" t="s">
        <v>210</v>
      </c>
      <c r="E31" s="32" t="s">
        <v>211</v>
      </c>
      <c r="F31" s="33">
        <v>46281</v>
      </c>
      <c r="G31" s="32" t="s">
        <v>6</v>
      </c>
      <c r="H31" s="34">
        <v>0.5</v>
      </c>
      <c r="I31" s="32" t="s">
        <v>212</v>
      </c>
      <c r="J31" s="32" t="s">
        <v>146</v>
      </c>
    </row>
    <row r="32" spans="1:10" ht="40.5" customHeight="1">
      <c r="A32" s="31">
        <v>31</v>
      </c>
      <c r="B32" s="32" t="s">
        <v>10</v>
      </c>
      <c r="C32" s="32" t="s">
        <v>127</v>
      </c>
      <c r="D32" s="32" t="s">
        <v>213</v>
      </c>
      <c r="E32" s="32" t="s">
        <v>214</v>
      </c>
      <c r="F32" s="33">
        <v>46281</v>
      </c>
      <c r="G32" s="32" t="s">
        <v>6</v>
      </c>
      <c r="H32" s="34">
        <v>0.5</v>
      </c>
      <c r="I32" s="32" t="s">
        <v>215</v>
      </c>
      <c r="J32" s="32" t="s">
        <v>146</v>
      </c>
    </row>
    <row r="33" spans="1:10" ht="40.5" customHeight="1">
      <c r="A33" s="31">
        <v>32</v>
      </c>
      <c r="B33" s="32" t="s">
        <v>10</v>
      </c>
      <c r="C33" s="32" t="s">
        <v>127</v>
      </c>
      <c r="D33" s="32" t="s">
        <v>216</v>
      </c>
      <c r="E33" s="32" t="s">
        <v>217</v>
      </c>
      <c r="F33" s="33">
        <v>46281</v>
      </c>
      <c r="G33" s="32" t="s">
        <v>6</v>
      </c>
      <c r="H33" s="34">
        <v>0.5</v>
      </c>
      <c r="I33" s="32" t="s">
        <v>218</v>
      </c>
      <c r="J33" s="32" t="s">
        <v>146</v>
      </c>
    </row>
    <row r="34" spans="1:10" ht="40.5" customHeight="1">
      <c r="A34" s="31">
        <v>33</v>
      </c>
      <c r="B34" s="32" t="s">
        <v>10</v>
      </c>
      <c r="C34" s="32" t="s">
        <v>127</v>
      </c>
      <c r="D34" s="32" t="s">
        <v>219</v>
      </c>
      <c r="E34" s="32" t="s">
        <v>220</v>
      </c>
      <c r="F34" s="33">
        <v>46281</v>
      </c>
      <c r="G34" s="32" t="s">
        <v>6</v>
      </c>
      <c r="H34" s="34">
        <v>0.5</v>
      </c>
      <c r="I34" s="32" t="s">
        <v>221</v>
      </c>
      <c r="J34" s="32" t="s">
        <v>222</v>
      </c>
    </row>
    <row r="35" spans="1:10" ht="40.5" customHeight="1">
      <c r="A35" s="31">
        <v>34</v>
      </c>
      <c r="B35" s="32" t="s">
        <v>10</v>
      </c>
      <c r="C35" s="32" t="s">
        <v>127</v>
      </c>
      <c r="D35" s="32" t="s">
        <v>223</v>
      </c>
      <c r="E35" s="32" t="s">
        <v>214</v>
      </c>
      <c r="F35" s="33">
        <v>46281</v>
      </c>
      <c r="G35" s="32" t="s">
        <v>6</v>
      </c>
      <c r="H35" s="34">
        <v>0.5</v>
      </c>
      <c r="I35" s="32" t="s">
        <v>224</v>
      </c>
      <c r="J35" s="32" t="s">
        <v>222</v>
      </c>
    </row>
    <row r="36" spans="1:10" ht="40.5" customHeight="1">
      <c r="A36" s="31">
        <v>35</v>
      </c>
      <c r="B36" s="32" t="s">
        <v>10</v>
      </c>
      <c r="C36" s="32" t="s">
        <v>127</v>
      </c>
      <c r="D36" s="32" t="s">
        <v>225</v>
      </c>
      <c r="E36" s="32" t="s">
        <v>226</v>
      </c>
      <c r="F36" s="33">
        <v>46281</v>
      </c>
      <c r="G36" s="32" t="s">
        <v>6</v>
      </c>
      <c r="H36" s="34">
        <v>0.5</v>
      </c>
      <c r="I36" s="32" t="s">
        <v>227</v>
      </c>
      <c r="J36" s="32" t="s">
        <v>222</v>
      </c>
    </row>
    <row r="37" spans="1:10" ht="66.75" customHeight="1">
      <c r="A37" s="31">
        <v>36</v>
      </c>
      <c r="B37" s="32" t="s">
        <v>10</v>
      </c>
      <c r="C37" s="32" t="s">
        <v>127</v>
      </c>
      <c r="D37" s="32" t="s">
        <v>228</v>
      </c>
      <c r="E37" s="32" t="s">
        <v>229</v>
      </c>
      <c r="F37" s="33">
        <v>46281</v>
      </c>
      <c r="G37" s="32" t="s">
        <v>6</v>
      </c>
      <c r="H37" s="34">
        <v>0.5</v>
      </c>
      <c r="I37" s="32" t="s">
        <v>230</v>
      </c>
      <c r="J37" s="32" t="s">
        <v>159</v>
      </c>
    </row>
    <row r="38" spans="1:10" ht="40.5" customHeight="1">
      <c r="A38" s="31">
        <v>37</v>
      </c>
      <c r="B38" s="32" t="s">
        <v>10</v>
      </c>
      <c r="C38" s="32" t="s">
        <v>127</v>
      </c>
      <c r="D38" s="32" t="s">
        <v>231</v>
      </c>
      <c r="E38" s="32" t="s">
        <v>232</v>
      </c>
      <c r="F38" s="33">
        <v>46281</v>
      </c>
      <c r="G38" s="32" t="s">
        <v>6</v>
      </c>
      <c r="H38" s="34">
        <v>0.5</v>
      </c>
      <c r="I38" s="32" t="s">
        <v>233</v>
      </c>
      <c r="J38" s="32" t="s">
        <v>159</v>
      </c>
    </row>
    <row r="39" spans="1:10" ht="66.75" customHeight="1">
      <c r="A39" s="31">
        <v>38</v>
      </c>
      <c r="B39" s="32" t="s">
        <v>10</v>
      </c>
      <c r="C39" s="32" t="s">
        <v>127</v>
      </c>
      <c r="D39" s="32" t="s">
        <v>234</v>
      </c>
      <c r="E39" s="32" t="s">
        <v>235</v>
      </c>
      <c r="F39" s="33">
        <v>46281</v>
      </c>
      <c r="G39" s="32" t="s">
        <v>6</v>
      </c>
      <c r="H39" s="34">
        <v>0.5</v>
      </c>
      <c r="I39" s="32" t="s">
        <v>236</v>
      </c>
      <c r="J39" s="32" t="s">
        <v>159</v>
      </c>
    </row>
    <row r="40" spans="1:10" ht="40.5" customHeight="1">
      <c r="A40" s="31">
        <v>39</v>
      </c>
      <c r="B40" s="32" t="s">
        <v>10</v>
      </c>
      <c r="C40" s="32" t="s">
        <v>127</v>
      </c>
      <c r="D40" s="32" t="s">
        <v>237</v>
      </c>
      <c r="E40" s="32" t="s">
        <v>57</v>
      </c>
      <c r="F40" s="33">
        <v>46281</v>
      </c>
      <c r="G40" s="32" t="s">
        <v>5</v>
      </c>
      <c r="H40" s="34">
        <v>1</v>
      </c>
      <c r="I40" s="32" t="s">
        <v>238</v>
      </c>
      <c r="J40" s="32" t="s">
        <v>222</v>
      </c>
    </row>
    <row r="41" spans="1:10" ht="40.5" customHeight="1">
      <c r="A41" s="31">
        <v>40</v>
      </c>
      <c r="B41" s="32" t="s">
        <v>10</v>
      </c>
      <c r="C41" s="32" t="s">
        <v>127</v>
      </c>
      <c r="D41" s="32" t="s">
        <v>239</v>
      </c>
      <c r="E41" s="32" t="s">
        <v>57</v>
      </c>
      <c r="F41" s="33">
        <v>46281</v>
      </c>
      <c r="G41" s="32" t="s">
        <v>5</v>
      </c>
      <c r="H41" s="34">
        <v>1</v>
      </c>
      <c r="I41" s="32" t="s">
        <v>240</v>
      </c>
      <c r="J41" s="32" t="s">
        <v>159</v>
      </c>
    </row>
    <row r="42" spans="1:10" ht="142.5" customHeight="1">
      <c r="A42" s="35">
        <v>41</v>
      </c>
      <c r="B42" s="36" t="s">
        <v>10</v>
      </c>
      <c r="C42" s="36" t="s">
        <v>127</v>
      </c>
      <c r="D42" s="36" t="s">
        <v>241</v>
      </c>
      <c r="E42" s="36" t="s">
        <v>242</v>
      </c>
      <c r="F42" s="39">
        <v>46275</v>
      </c>
      <c r="G42" s="36" t="s">
        <v>5</v>
      </c>
      <c r="H42" s="40">
        <v>1</v>
      </c>
      <c r="I42" s="36" t="s">
        <v>243</v>
      </c>
      <c r="J42" s="36" t="s">
        <v>126</v>
      </c>
    </row>
    <row r="43" spans="1:10" ht="130.5" customHeight="1">
      <c r="A43" s="35">
        <v>42</v>
      </c>
      <c r="B43" s="36" t="s">
        <v>10</v>
      </c>
      <c r="C43" s="36" t="s">
        <v>127</v>
      </c>
      <c r="D43" s="36" t="s">
        <v>244</v>
      </c>
      <c r="E43" s="36" t="s">
        <v>104</v>
      </c>
      <c r="F43" s="39">
        <v>46274</v>
      </c>
      <c r="G43" s="36" t="s">
        <v>5</v>
      </c>
      <c r="H43" s="40">
        <v>1</v>
      </c>
      <c r="I43" s="36" t="s">
        <v>245</v>
      </c>
      <c r="J43" s="36" t="s">
        <v>126</v>
      </c>
    </row>
    <row r="44" spans="1:10" ht="117.75" customHeight="1">
      <c r="A44" s="35">
        <v>43</v>
      </c>
      <c r="B44" s="36" t="s">
        <v>10</v>
      </c>
      <c r="C44" s="41" t="s">
        <v>127</v>
      </c>
      <c r="D44" s="32" t="s">
        <v>246</v>
      </c>
      <c r="E44" s="36" t="s">
        <v>247</v>
      </c>
      <c r="F44" s="39">
        <v>46287</v>
      </c>
      <c r="G44" s="36" t="s">
        <v>248</v>
      </c>
      <c r="H44" s="40">
        <v>0</v>
      </c>
      <c r="I44" s="36" t="s">
        <v>249</v>
      </c>
      <c r="J44" s="36" t="s">
        <v>126</v>
      </c>
    </row>
    <row r="45" spans="1:10" ht="156" customHeight="1">
      <c r="A45" s="35">
        <v>44</v>
      </c>
      <c r="B45" s="36" t="s">
        <v>10</v>
      </c>
      <c r="C45" s="41" t="s">
        <v>127</v>
      </c>
      <c r="D45" s="32" t="s">
        <v>250</v>
      </c>
      <c r="E45" s="36" t="s">
        <v>251</v>
      </c>
      <c r="F45" s="39">
        <v>46318</v>
      </c>
      <c r="G45" s="36" t="s">
        <v>248</v>
      </c>
      <c r="H45" s="40">
        <v>0</v>
      </c>
      <c r="I45" s="36" t="s">
        <v>252</v>
      </c>
      <c r="J45" s="36" t="s">
        <v>126</v>
      </c>
    </row>
    <row r="46" spans="1:10" ht="66.75" customHeight="1">
      <c r="A46" s="35">
        <v>45</v>
      </c>
      <c r="B46" s="36" t="s">
        <v>10</v>
      </c>
      <c r="C46" s="37" t="s">
        <v>134</v>
      </c>
      <c r="D46" s="38" t="s">
        <v>253</v>
      </c>
      <c r="E46" s="36" t="s">
        <v>124</v>
      </c>
      <c r="F46" s="39">
        <v>46276</v>
      </c>
      <c r="G46" s="36" t="s">
        <v>5</v>
      </c>
      <c r="H46" s="40">
        <v>1</v>
      </c>
      <c r="I46" s="36" t="s">
        <v>254</v>
      </c>
      <c r="J46" s="36" t="s">
        <v>126</v>
      </c>
    </row>
    <row r="47" spans="1:10" ht="66.75" customHeight="1">
      <c r="A47" s="35">
        <v>46</v>
      </c>
      <c r="B47" s="36" t="s">
        <v>10</v>
      </c>
      <c r="C47" s="41" t="s">
        <v>127</v>
      </c>
      <c r="D47" s="32" t="s">
        <v>255</v>
      </c>
      <c r="E47" s="36" t="s">
        <v>256</v>
      </c>
      <c r="F47" s="39">
        <v>46281</v>
      </c>
      <c r="G47" s="36" t="s">
        <v>6</v>
      </c>
      <c r="H47" s="40">
        <v>0.75</v>
      </c>
      <c r="I47" s="36" t="s">
        <v>257</v>
      </c>
      <c r="J47" s="36" t="s">
        <v>258</v>
      </c>
    </row>
    <row r="48" spans="1:10" ht="40.5" customHeight="1">
      <c r="A48" s="35">
        <v>47</v>
      </c>
      <c r="B48" s="36" t="s">
        <v>10</v>
      </c>
      <c r="C48" s="37" t="s">
        <v>134</v>
      </c>
      <c r="D48" s="38" t="s">
        <v>259</v>
      </c>
      <c r="E48" s="36" t="s">
        <v>260</v>
      </c>
      <c r="F48" s="39">
        <v>46281</v>
      </c>
      <c r="G48" s="36" t="s">
        <v>6</v>
      </c>
      <c r="H48" s="40">
        <v>0.5</v>
      </c>
      <c r="I48" s="36" t="s">
        <v>261</v>
      </c>
      <c r="J48" s="36" t="s">
        <v>159</v>
      </c>
    </row>
    <row r="49" spans="1:10" ht="40.5" customHeight="1">
      <c r="A49" s="35">
        <v>48</v>
      </c>
      <c r="B49" s="36" t="s">
        <v>10</v>
      </c>
      <c r="C49" s="37" t="s">
        <v>134</v>
      </c>
      <c r="D49" s="38" t="s">
        <v>262</v>
      </c>
      <c r="E49" s="36" t="s">
        <v>263</v>
      </c>
      <c r="F49" s="39">
        <v>46296</v>
      </c>
      <c r="G49" s="36" t="s">
        <v>6</v>
      </c>
      <c r="H49" s="40">
        <v>0.5</v>
      </c>
      <c r="I49" s="36" t="s">
        <v>264</v>
      </c>
      <c r="J49" s="36" t="s">
        <v>159</v>
      </c>
    </row>
    <row r="50" spans="1:10" ht="193.5" customHeight="1">
      <c r="A50" s="42">
        <v>49</v>
      </c>
      <c r="B50" s="43" t="s">
        <v>11</v>
      </c>
      <c r="C50" s="43" t="s">
        <v>127</v>
      </c>
      <c r="D50" s="43" t="s">
        <v>265</v>
      </c>
      <c r="E50" s="43" t="s">
        <v>266</v>
      </c>
      <c r="F50" s="44">
        <v>46279</v>
      </c>
      <c r="G50" s="43" t="s">
        <v>5</v>
      </c>
      <c r="H50" s="45">
        <v>1</v>
      </c>
      <c r="I50" s="43" t="s">
        <v>267</v>
      </c>
      <c r="J50" s="43" t="s">
        <v>126</v>
      </c>
    </row>
    <row r="51" spans="1:10" ht="66.75" customHeight="1">
      <c r="A51" s="42">
        <v>50</v>
      </c>
      <c r="B51" s="43" t="s">
        <v>11</v>
      </c>
      <c r="C51" s="46" t="s">
        <v>127</v>
      </c>
      <c r="D51" s="47" t="s">
        <v>268</v>
      </c>
      <c r="E51" s="43" t="s">
        <v>269</v>
      </c>
      <c r="F51" s="44">
        <v>46297</v>
      </c>
      <c r="G51" s="43" t="s">
        <v>248</v>
      </c>
      <c r="H51" s="45">
        <v>0</v>
      </c>
      <c r="I51" s="43" t="s">
        <v>270</v>
      </c>
      <c r="J51" s="43" t="s">
        <v>271</v>
      </c>
    </row>
    <row r="52" spans="1:10" ht="66.75" customHeight="1">
      <c r="A52" s="42">
        <v>51</v>
      </c>
      <c r="B52" s="43" t="s">
        <v>11</v>
      </c>
      <c r="C52" s="46" t="s">
        <v>127</v>
      </c>
      <c r="D52" s="47" t="s">
        <v>272</v>
      </c>
      <c r="E52" s="43" t="s">
        <v>104</v>
      </c>
      <c r="F52" s="44">
        <v>46303</v>
      </c>
      <c r="G52" s="43" t="s">
        <v>248</v>
      </c>
      <c r="H52" s="45">
        <v>0</v>
      </c>
      <c r="I52" s="43" t="s">
        <v>273</v>
      </c>
      <c r="J52" s="43" t="s">
        <v>274</v>
      </c>
    </row>
    <row r="53" spans="1:10" ht="66.75" customHeight="1">
      <c r="A53" s="42">
        <v>52</v>
      </c>
      <c r="B53" s="43" t="s">
        <v>11</v>
      </c>
      <c r="C53" s="37" t="s">
        <v>134</v>
      </c>
      <c r="D53" s="48" t="s">
        <v>275</v>
      </c>
      <c r="E53" s="43" t="s">
        <v>276</v>
      </c>
      <c r="F53" s="44">
        <v>46307</v>
      </c>
      <c r="G53" s="43" t="s">
        <v>248</v>
      </c>
      <c r="H53" s="45">
        <v>0</v>
      </c>
      <c r="I53" s="43" t="s">
        <v>277</v>
      </c>
      <c r="J53" s="43" t="s">
        <v>278</v>
      </c>
    </row>
    <row r="54" spans="1:10" ht="66.75" customHeight="1">
      <c r="A54" s="42">
        <v>53</v>
      </c>
      <c r="B54" s="43" t="s">
        <v>11</v>
      </c>
      <c r="C54" s="46" t="s">
        <v>127</v>
      </c>
      <c r="D54" s="47" t="s">
        <v>279</v>
      </c>
      <c r="E54" s="43" t="s">
        <v>161</v>
      </c>
      <c r="F54" s="44">
        <v>46307</v>
      </c>
      <c r="G54" s="43" t="s">
        <v>248</v>
      </c>
      <c r="H54" s="45">
        <v>0</v>
      </c>
      <c r="I54" s="43" t="s">
        <v>280</v>
      </c>
      <c r="J54" s="43" t="s">
        <v>278</v>
      </c>
    </row>
    <row r="55" spans="1:10" ht="105" customHeight="1">
      <c r="A55" s="42">
        <v>54</v>
      </c>
      <c r="B55" s="43" t="s">
        <v>11</v>
      </c>
      <c r="C55" s="37" t="s">
        <v>134</v>
      </c>
      <c r="D55" s="48" t="s">
        <v>281</v>
      </c>
      <c r="E55" s="43" t="s">
        <v>182</v>
      </c>
      <c r="F55" s="44">
        <v>46301</v>
      </c>
      <c r="G55" s="43" t="s">
        <v>6</v>
      </c>
      <c r="H55" s="45">
        <v>0.25</v>
      </c>
      <c r="I55" s="43" t="s">
        <v>282</v>
      </c>
      <c r="J55" s="43" t="s">
        <v>283</v>
      </c>
    </row>
    <row r="56" spans="1:10" ht="66.75" customHeight="1">
      <c r="A56" s="42">
        <v>55</v>
      </c>
      <c r="B56" s="43" t="s">
        <v>11</v>
      </c>
      <c r="C56" s="37" t="s">
        <v>134</v>
      </c>
      <c r="D56" s="48" t="s">
        <v>284</v>
      </c>
      <c r="E56" s="43" t="s">
        <v>285</v>
      </c>
      <c r="F56" s="44">
        <v>46323</v>
      </c>
      <c r="G56" s="43" t="s">
        <v>6</v>
      </c>
      <c r="H56" s="45">
        <v>0.2</v>
      </c>
      <c r="I56" s="43" t="s">
        <v>286</v>
      </c>
      <c r="J56" s="43" t="s">
        <v>283</v>
      </c>
    </row>
    <row r="57" spans="1:10" ht="91.5" customHeight="1">
      <c r="A57" s="49">
        <v>56</v>
      </c>
      <c r="B57" s="47" t="s">
        <v>11</v>
      </c>
      <c r="C57" s="47" t="s">
        <v>127</v>
      </c>
      <c r="D57" s="47" t="s">
        <v>287</v>
      </c>
      <c r="E57" s="47" t="s">
        <v>288</v>
      </c>
      <c r="F57" s="50">
        <v>46323</v>
      </c>
      <c r="G57" s="47" t="s">
        <v>6</v>
      </c>
      <c r="H57" s="51">
        <v>0.25</v>
      </c>
      <c r="I57" s="47" t="s">
        <v>289</v>
      </c>
      <c r="J57" s="47" t="s">
        <v>283</v>
      </c>
    </row>
    <row r="58" spans="1:10" ht="66.75" customHeight="1">
      <c r="A58" s="42">
        <v>57</v>
      </c>
      <c r="B58" s="43" t="s">
        <v>11</v>
      </c>
      <c r="C58" s="37" t="s">
        <v>134</v>
      </c>
      <c r="D58" s="48" t="s">
        <v>290</v>
      </c>
      <c r="E58" s="43" t="s">
        <v>291</v>
      </c>
      <c r="F58" s="44">
        <v>46335</v>
      </c>
      <c r="G58" s="43" t="s">
        <v>248</v>
      </c>
      <c r="H58" s="45">
        <v>0</v>
      </c>
      <c r="I58" s="43" t="s">
        <v>292</v>
      </c>
      <c r="J58" s="43" t="s">
        <v>283</v>
      </c>
    </row>
    <row r="59" spans="1:10" ht="66.75" customHeight="1">
      <c r="A59" s="49">
        <v>58</v>
      </c>
      <c r="B59" s="47" t="s">
        <v>11</v>
      </c>
      <c r="C59" s="47" t="s">
        <v>127</v>
      </c>
      <c r="D59" s="47" t="s">
        <v>293</v>
      </c>
      <c r="E59" s="47" t="s">
        <v>291</v>
      </c>
      <c r="F59" s="50">
        <v>46337</v>
      </c>
      <c r="G59" s="47" t="s">
        <v>248</v>
      </c>
      <c r="H59" s="51">
        <v>0</v>
      </c>
      <c r="I59" s="47" t="s">
        <v>294</v>
      </c>
      <c r="J59" s="47" t="s">
        <v>283</v>
      </c>
    </row>
    <row r="60" spans="1:10" ht="66.75" customHeight="1">
      <c r="A60" s="49">
        <v>59</v>
      </c>
      <c r="B60" s="47" t="s">
        <v>11</v>
      </c>
      <c r="C60" s="47" t="s">
        <v>127</v>
      </c>
      <c r="D60" s="47" t="s">
        <v>295</v>
      </c>
      <c r="E60" s="47" t="s">
        <v>291</v>
      </c>
      <c r="F60" s="50">
        <v>46339</v>
      </c>
      <c r="G60" s="47" t="s">
        <v>248</v>
      </c>
      <c r="H60" s="51">
        <v>0</v>
      </c>
      <c r="I60" s="47" t="s">
        <v>294</v>
      </c>
      <c r="J60" s="47" t="s">
        <v>283</v>
      </c>
    </row>
    <row r="61" spans="1:10" ht="66.75" customHeight="1">
      <c r="A61" s="49">
        <v>60</v>
      </c>
      <c r="B61" s="47" t="s">
        <v>11</v>
      </c>
      <c r="C61" s="47" t="s">
        <v>127</v>
      </c>
      <c r="D61" s="47" t="s">
        <v>296</v>
      </c>
      <c r="E61" s="47" t="s">
        <v>291</v>
      </c>
      <c r="F61" s="50">
        <v>46342</v>
      </c>
      <c r="G61" s="47" t="s">
        <v>248</v>
      </c>
      <c r="H61" s="51">
        <v>0</v>
      </c>
      <c r="I61" s="47" t="s">
        <v>294</v>
      </c>
      <c r="J61" s="47" t="s">
        <v>283</v>
      </c>
    </row>
    <row r="62" spans="1:10" ht="66.75" customHeight="1">
      <c r="A62" s="49">
        <v>61</v>
      </c>
      <c r="B62" s="47" t="s">
        <v>11</v>
      </c>
      <c r="C62" s="47" t="s">
        <v>127</v>
      </c>
      <c r="D62" s="47" t="s">
        <v>297</v>
      </c>
      <c r="E62" s="47" t="s">
        <v>291</v>
      </c>
      <c r="F62" s="50">
        <v>46344</v>
      </c>
      <c r="G62" s="47" t="s">
        <v>248</v>
      </c>
      <c r="H62" s="51">
        <v>0</v>
      </c>
      <c r="I62" s="47" t="s">
        <v>294</v>
      </c>
      <c r="J62" s="47" t="s">
        <v>283</v>
      </c>
    </row>
    <row r="63" spans="1:10" ht="66.75" customHeight="1">
      <c r="A63" s="49">
        <v>62</v>
      </c>
      <c r="B63" s="47" t="s">
        <v>11</v>
      </c>
      <c r="C63" s="47" t="s">
        <v>127</v>
      </c>
      <c r="D63" s="47" t="s">
        <v>298</v>
      </c>
      <c r="E63" s="47" t="s">
        <v>291</v>
      </c>
      <c r="F63" s="50">
        <v>46346</v>
      </c>
      <c r="G63" s="47" t="s">
        <v>248</v>
      </c>
      <c r="H63" s="51">
        <v>0</v>
      </c>
      <c r="I63" s="47" t="s">
        <v>299</v>
      </c>
      <c r="J63" s="47" t="s">
        <v>283</v>
      </c>
    </row>
    <row r="64" spans="1:10" ht="66.75" customHeight="1">
      <c r="A64" s="49">
        <v>63</v>
      </c>
      <c r="B64" s="47" t="s">
        <v>11</v>
      </c>
      <c r="C64" s="47" t="s">
        <v>127</v>
      </c>
      <c r="D64" s="47" t="s">
        <v>300</v>
      </c>
      <c r="E64" s="47" t="s">
        <v>301</v>
      </c>
      <c r="F64" s="50">
        <v>46323</v>
      </c>
      <c r="G64" s="47" t="s">
        <v>248</v>
      </c>
      <c r="H64" s="51">
        <v>0</v>
      </c>
      <c r="I64" s="47" t="s">
        <v>302</v>
      </c>
      <c r="J64" s="47" t="s">
        <v>283</v>
      </c>
    </row>
    <row r="65" spans="1:10" ht="66.75" customHeight="1">
      <c r="A65" s="49">
        <v>64</v>
      </c>
      <c r="B65" s="47" t="s">
        <v>11</v>
      </c>
      <c r="C65" s="47" t="s">
        <v>127</v>
      </c>
      <c r="D65" s="47" t="s">
        <v>303</v>
      </c>
      <c r="E65" s="47" t="s">
        <v>304</v>
      </c>
      <c r="F65" s="50">
        <v>46323</v>
      </c>
      <c r="G65" s="47" t="s">
        <v>248</v>
      </c>
      <c r="H65" s="51">
        <v>0</v>
      </c>
      <c r="I65" s="47" t="s">
        <v>305</v>
      </c>
      <c r="J65" s="47" t="s">
        <v>283</v>
      </c>
    </row>
    <row r="66" spans="1:10" ht="66.75" customHeight="1">
      <c r="A66" s="49">
        <v>65</v>
      </c>
      <c r="B66" s="47" t="s">
        <v>11</v>
      </c>
      <c r="C66" s="47" t="s">
        <v>127</v>
      </c>
      <c r="D66" s="47" t="s">
        <v>306</v>
      </c>
      <c r="E66" s="47" t="s">
        <v>307</v>
      </c>
      <c r="F66" s="50"/>
      <c r="G66" s="47" t="s">
        <v>248</v>
      </c>
      <c r="H66" s="51">
        <v>0</v>
      </c>
      <c r="I66" s="47" t="s">
        <v>308</v>
      </c>
      <c r="J66" s="47" t="s">
        <v>283</v>
      </c>
    </row>
    <row r="67" spans="1:10" ht="66.75" customHeight="1">
      <c r="A67" s="49">
        <v>66</v>
      </c>
      <c r="B67" s="47" t="s">
        <v>11</v>
      </c>
      <c r="C67" s="47" t="s">
        <v>127</v>
      </c>
      <c r="D67" s="47" t="s">
        <v>309</v>
      </c>
      <c r="E67" s="47" t="s">
        <v>235</v>
      </c>
      <c r="F67" s="50"/>
      <c r="G67" s="47" t="s">
        <v>185</v>
      </c>
      <c r="H67" s="51">
        <v>1</v>
      </c>
      <c r="I67" s="47" t="s">
        <v>310</v>
      </c>
      <c r="J67" s="47" t="s">
        <v>126</v>
      </c>
    </row>
    <row r="68" spans="1:10" ht="66.75" customHeight="1">
      <c r="A68" s="49">
        <v>67</v>
      </c>
      <c r="B68" s="47" t="s">
        <v>11</v>
      </c>
      <c r="C68" s="47" t="s">
        <v>127</v>
      </c>
      <c r="D68" s="47" t="s">
        <v>311</v>
      </c>
      <c r="E68" s="47" t="s">
        <v>304</v>
      </c>
      <c r="F68" s="50"/>
      <c r="G68" s="47" t="s">
        <v>248</v>
      </c>
      <c r="H68" s="51">
        <v>0</v>
      </c>
      <c r="I68" s="47" t="s">
        <v>312</v>
      </c>
      <c r="J68" s="47" t="s">
        <v>283</v>
      </c>
    </row>
    <row r="69" spans="1:10" ht="66.75" customHeight="1">
      <c r="A69" s="49">
        <v>68</v>
      </c>
      <c r="B69" s="47" t="s">
        <v>11</v>
      </c>
      <c r="C69" s="47" t="s">
        <v>127</v>
      </c>
      <c r="D69" s="47" t="s">
        <v>313</v>
      </c>
      <c r="E69" s="47" t="s">
        <v>304</v>
      </c>
      <c r="F69" s="50"/>
      <c r="G69" s="47" t="s">
        <v>248</v>
      </c>
      <c r="H69" s="51">
        <v>0</v>
      </c>
      <c r="I69" s="47" t="s">
        <v>314</v>
      </c>
      <c r="J69" s="47" t="s">
        <v>283</v>
      </c>
    </row>
    <row r="70" spans="1:10" ht="91.5" customHeight="1">
      <c r="A70" s="49">
        <v>69</v>
      </c>
      <c r="B70" s="47" t="s">
        <v>11</v>
      </c>
      <c r="C70" s="47" t="s">
        <v>127</v>
      </c>
      <c r="D70" s="47" t="s">
        <v>315</v>
      </c>
      <c r="E70" s="47" t="s">
        <v>316</v>
      </c>
      <c r="F70" s="50"/>
      <c r="G70" s="47" t="s">
        <v>248</v>
      </c>
      <c r="H70" s="51">
        <v>0</v>
      </c>
      <c r="I70" s="47" t="s">
        <v>317</v>
      </c>
      <c r="J70" s="47" t="s">
        <v>126</v>
      </c>
    </row>
    <row r="71" spans="1:10" ht="66.75" customHeight="1">
      <c r="A71" s="49">
        <v>70</v>
      </c>
      <c r="B71" s="47" t="s">
        <v>11</v>
      </c>
      <c r="C71" s="47" t="s">
        <v>127</v>
      </c>
      <c r="D71" s="47" t="s">
        <v>318</v>
      </c>
      <c r="E71" s="47" t="s">
        <v>124</v>
      </c>
      <c r="F71" s="50"/>
      <c r="G71" s="47" t="s">
        <v>248</v>
      </c>
      <c r="H71" s="51">
        <v>0</v>
      </c>
      <c r="I71" s="47" t="s">
        <v>319</v>
      </c>
      <c r="J71" s="47" t="s">
        <v>206</v>
      </c>
    </row>
    <row r="72" spans="1:10" ht="66.75" customHeight="1">
      <c r="A72" s="49">
        <v>71</v>
      </c>
      <c r="B72" s="47" t="s">
        <v>11</v>
      </c>
      <c r="C72" s="47" t="s">
        <v>127</v>
      </c>
      <c r="D72" s="47" t="s">
        <v>320</v>
      </c>
      <c r="E72" s="47" t="s">
        <v>304</v>
      </c>
      <c r="F72" s="50">
        <v>46323</v>
      </c>
      <c r="G72" s="47" t="s">
        <v>248</v>
      </c>
      <c r="H72" s="51">
        <v>0</v>
      </c>
      <c r="I72" s="47" t="s">
        <v>321</v>
      </c>
      <c r="J72" s="47" t="s">
        <v>206</v>
      </c>
    </row>
    <row r="73" spans="1:10" ht="66.75" customHeight="1">
      <c r="A73" s="49">
        <v>72</v>
      </c>
      <c r="B73" s="47" t="s">
        <v>11</v>
      </c>
      <c r="C73" s="47" t="s">
        <v>127</v>
      </c>
      <c r="D73" s="47" t="s">
        <v>322</v>
      </c>
      <c r="E73" s="47" t="s">
        <v>104</v>
      </c>
      <c r="F73" s="50"/>
      <c r="G73" s="47" t="s">
        <v>248</v>
      </c>
      <c r="H73" s="51">
        <v>0</v>
      </c>
      <c r="I73" s="47" t="s">
        <v>323</v>
      </c>
      <c r="J73" s="47" t="s">
        <v>126</v>
      </c>
    </row>
    <row r="74" spans="1:10" ht="66.75" customHeight="1">
      <c r="A74" s="42">
        <v>73</v>
      </c>
      <c r="B74" s="43" t="s">
        <v>11</v>
      </c>
      <c r="C74" s="37" t="s">
        <v>134</v>
      </c>
      <c r="D74" s="48" t="s">
        <v>324</v>
      </c>
      <c r="E74" s="43" t="s">
        <v>251</v>
      </c>
      <c r="F74" s="44">
        <v>46339</v>
      </c>
      <c r="G74" s="43" t="s">
        <v>248</v>
      </c>
      <c r="H74" s="45">
        <v>0</v>
      </c>
      <c r="I74" s="43" t="s">
        <v>325</v>
      </c>
      <c r="J74" s="43" t="s">
        <v>126</v>
      </c>
    </row>
    <row r="75" spans="1:10" ht="66.75" customHeight="1">
      <c r="A75" s="42">
        <v>74</v>
      </c>
      <c r="B75" s="43" t="s">
        <v>11</v>
      </c>
      <c r="C75" s="37" t="s">
        <v>134</v>
      </c>
      <c r="D75" s="48" t="s">
        <v>326</v>
      </c>
      <c r="E75" s="43" t="s">
        <v>104</v>
      </c>
      <c r="F75" s="52">
        <v>46346</v>
      </c>
      <c r="G75" s="43" t="s">
        <v>248</v>
      </c>
      <c r="H75" s="45">
        <v>0</v>
      </c>
      <c r="I75" s="43" t="s">
        <v>327</v>
      </c>
      <c r="J75" s="43" t="s">
        <v>126</v>
      </c>
    </row>
    <row r="76" spans="1:10" ht="54" customHeight="1">
      <c r="A76" s="53">
        <v>75</v>
      </c>
      <c r="B76" s="54" t="s">
        <v>12</v>
      </c>
      <c r="C76" s="54" t="s">
        <v>127</v>
      </c>
      <c r="D76" s="54" t="s">
        <v>328</v>
      </c>
      <c r="E76" s="54" t="s">
        <v>329</v>
      </c>
      <c r="F76" s="55"/>
      <c r="G76" s="54" t="s">
        <v>248</v>
      </c>
      <c r="H76" s="56">
        <v>0</v>
      </c>
      <c r="I76" s="54" t="s">
        <v>330</v>
      </c>
      <c r="J76" s="54" t="s">
        <v>206</v>
      </c>
    </row>
    <row r="77" spans="1:10" ht="54" customHeight="1">
      <c r="A77" s="53">
        <v>76</v>
      </c>
      <c r="B77" s="54" t="s">
        <v>12</v>
      </c>
      <c r="C77" s="54" t="s">
        <v>127</v>
      </c>
      <c r="D77" s="54" t="s">
        <v>331</v>
      </c>
      <c r="E77" s="54" t="s">
        <v>329</v>
      </c>
      <c r="F77" s="55"/>
      <c r="G77" s="54" t="s">
        <v>248</v>
      </c>
      <c r="H77" s="56">
        <v>0</v>
      </c>
      <c r="I77" s="54"/>
      <c r="J77" s="54" t="s">
        <v>206</v>
      </c>
    </row>
    <row r="78" spans="1:10" ht="54" customHeight="1">
      <c r="A78" s="53">
        <v>77</v>
      </c>
      <c r="B78" s="54" t="s">
        <v>12</v>
      </c>
      <c r="C78" s="54" t="s">
        <v>127</v>
      </c>
      <c r="D78" s="54" t="s">
        <v>332</v>
      </c>
      <c r="E78" s="54" t="s">
        <v>329</v>
      </c>
      <c r="F78" s="55"/>
      <c r="G78" s="54" t="s">
        <v>248</v>
      </c>
      <c r="H78" s="56">
        <v>0</v>
      </c>
      <c r="I78" s="54" t="s">
        <v>333</v>
      </c>
      <c r="J78" s="54" t="s">
        <v>206</v>
      </c>
    </row>
    <row r="79" spans="1:10" ht="54" customHeight="1">
      <c r="A79" s="53">
        <v>78</v>
      </c>
      <c r="B79" s="54" t="s">
        <v>12</v>
      </c>
      <c r="C79" s="54" t="s">
        <v>127</v>
      </c>
      <c r="D79" s="54" t="s">
        <v>334</v>
      </c>
      <c r="E79" s="54" t="s">
        <v>161</v>
      </c>
      <c r="F79" s="55"/>
      <c r="G79" s="54" t="s">
        <v>248</v>
      </c>
      <c r="H79" s="56">
        <v>0</v>
      </c>
      <c r="I79" s="54" t="s">
        <v>335</v>
      </c>
      <c r="J79" s="54" t="s">
        <v>206</v>
      </c>
    </row>
    <row r="80" spans="1:10" ht="54" customHeight="1">
      <c r="A80" s="53">
        <v>79</v>
      </c>
      <c r="B80" s="54" t="s">
        <v>12</v>
      </c>
      <c r="C80" s="54" t="s">
        <v>127</v>
      </c>
      <c r="D80" s="54" t="s">
        <v>336</v>
      </c>
      <c r="E80" s="54" t="s">
        <v>337</v>
      </c>
      <c r="F80" s="55"/>
      <c r="G80" s="54" t="s">
        <v>248</v>
      </c>
      <c r="H80" s="56">
        <v>0</v>
      </c>
      <c r="I80" s="54" t="s">
        <v>338</v>
      </c>
      <c r="J80" s="54" t="s">
        <v>126</v>
      </c>
    </row>
    <row r="81" spans="1:10" ht="54" customHeight="1">
      <c r="A81" s="53">
        <v>80</v>
      </c>
      <c r="B81" s="54" t="s">
        <v>12</v>
      </c>
      <c r="C81" s="54" t="s">
        <v>127</v>
      </c>
      <c r="D81" s="54" t="s">
        <v>339</v>
      </c>
      <c r="E81" s="54" t="s">
        <v>340</v>
      </c>
      <c r="F81" s="55"/>
      <c r="G81" s="54" t="s">
        <v>248</v>
      </c>
      <c r="H81" s="56">
        <v>0</v>
      </c>
      <c r="I81" s="54" t="s">
        <v>341</v>
      </c>
      <c r="J81" s="54" t="s">
        <v>126</v>
      </c>
    </row>
    <row r="82" spans="1:10" ht="54" customHeight="1">
      <c r="A82" s="53">
        <v>81</v>
      </c>
      <c r="B82" s="54" t="s">
        <v>12</v>
      </c>
      <c r="C82" s="54" t="s">
        <v>127</v>
      </c>
      <c r="D82" s="54" t="s">
        <v>342</v>
      </c>
      <c r="E82" s="54" t="s">
        <v>343</v>
      </c>
      <c r="F82" s="55"/>
      <c r="G82" s="54" t="s">
        <v>248</v>
      </c>
      <c r="H82" s="56">
        <v>0</v>
      </c>
      <c r="I82" s="54" t="s">
        <v>344</v>
      </c>
      <c r="J82" s="54" t="s">
        <v>206</v>
      </c>
    </row>
    <row r="83" spans="1:10" ht="66.75" customHeight="1">
      <c r="A83" s="53">
        <v>82</v>
      </c>
      <c r="B83" s="54" t="s">
        <v>12</v>
      </c>
      <c r="C83" s="54" t="s">
        <v>127</v>
      </c>
      <c r="D83" s="54" t="s">
        <v>345</v>
      </c>
      <c r="E83" s="54" t="s">
        <v>346</v>
      </c>
      <c r="F83" s="55"/>
      <c r="G83" s="54" t="s">
        <v>248</v>
      </c>
      <c r="H83" s="56">
        <v>0</v>
      </c>
      <c r="I83" s="54" t="s">
        <v>347</v>
      </c>
      <c r="J83" s="54" t="s">
        <v>126</v>
      </c>
    </row>
    <row r="84" spans="1:10" ht="54" customHeight="1">
      <c r="A84" s="53">
        <v>83</v>
      </c>
      <c r="B84" s="54" t="s">
        <v>12</v>
      </c>
      <c r="C84" s="54" t="s">
        <v>127</v>
      </c>
      <c r="D84" s="54" t="s">
        <v>348</v>
      </c>
      <c r="E84" s="54" t="s">
        <v>129</v>
      </c>
      <c r="F84" s="55"/>
      <c r="G84" s="54" t="s">
        <v>248</v>
      </c>
      <c r="H84" s="56">
        <v>0</v>
      </c>
      <c r="I84" s="54" t="s">
        <v>349</v>
      </c>
      <c r="J84" s="54" t="s">
        <v>126</v>
      </c>
    </row>
    <row r="85" spans="1:10" ht="142.5" customHeight="1">
      <c r="A85" s="53">
        <v>84</v>
      </c>
      <c r="B85" s="54" t="s">
        <v>12</v>
      </c>
      <c r="C85" s="54" t="s">
        <v>127</v>
      </c>
      <c r="D85" s="54" t="s">
        <v>350</v>
      </c>
      <c r="E85" s="54" t="s">
        <v>129</v>
      </c>
      <c r="F85" s="55"/>
      <c r="G85" s="54" t="s">
        <v>248</v>
      </c>
      <c r="H85" s="56">
        <v>0</v>
      </c>
      <c r="I85" s="54" t="s">
        <v>351</v>
      </c>
      <c r="J85" s="54" t="s">
        <v>126</v>
      </c>
    </row>
    <row r="86" spans="1:10" ht="66.75" customHeight="1">
      <c r="A86" s="53">
        <v>85</v>
      </c>
      <c r="B86" s="54" t="s">
        <v>12</v>
      </c>
      <c r="C86" s="54" t="s">
        <v>127</v>
      </c>
      <c r="D86" s="54" t="s">
        <v>352</v>
      </c>
      <c r="E86" s="54" t="s">
        <v>129</v>
      </c>
      <c r="F86" s="55"/>
      <c r="G86" s="54" t="s">
        <v>248</v>
      </c>
      <c r="H86" s="56">
        <v>0</v>
      </c>
      <c r="I86" s="54" t="s">
        <v>353</v>
      </c>
      <c r="J86" s="54" t="s">
        <v>126</v>
      </c>
    </row>
    <row r="87" spans="1:10" ht="54" customHeight="1">
      <c r="A87" s="53">
        <v>86</v>
      </c>
      <c r="B87" s="54" t="s">
        <v>12</v>
      </c>
      <c r="C87" s="54" t="s">
        <v>127</v>
      </c>
      <c r="D87" s="54" t="s">
        <v>354</v>
      </c>
      <c r="E87" s="54" t="s">
        <v>161</v>
      </c>
      <c r="F87" s="55"/>
      <c r="G87" s="54" t="s">
        <v>248</v>
      </c>
      <c r="H87" s="56">
        <v>0</v>
      </c>
      <c r="I87" s="54" t="s">
        <v>355</v>
      </c>
      <c r="J87" s="54" t="s">
        <v>206</v>
      </c>
    </row>
    <row r="88" spans="1:10" ht="79.5" customHeight="1">
      <c r="A88" s="53">
        <v>87</v>
      </c>
      <c r="B88" s="54" t="s">
        <v>12</v>
      </c>
      <c r="C88" s="54" t="s">
        <v>127</v>
      </c>
      <c r="D88" s="54" t="s">
        <v>356</v>
      </c>
      <c r="E88" s="54" t="s">
        <v>161</v>
      </c>
      <c r="F88" s="55"/>
      <c r="G88" s="54" t="s">
        <v>248</v>
      </c>
      <c r="H88" s="56">
        <v>0</v>
      </c>
      <c r="I88" s="54" t="s">
        <v>357</v>
      </c>
      <c r="J88" s="54" t="s">
        <v>206</v>
      </c>
    </row>
    <row r="89" spans="1:10" ht="142.5" customHeight="1">
      <c r="A89" s="53">
        <v>88</v>
      </c>
      <c r="B89" s="54" t="s">
        <v>12</v>
      </c>
      <c r="C89" s="54" t="s">
        <v>127</v>
      </c>
      <c r="D89" s="54" t="s">
        <v>358</v>
      </c>
      <c r="E89" s="54" t="s">
        <v>359</v>
      </c>
      <c r="F89" s="55"/>
      <c r="G89" s="54" t="s">
        <v>248</v>
      </c>
      <c r="H89" s="56">
        <v>0</v>
      </c>
      <c r="I89" s="54" t="s">
        <v>360</v>
      </c>
      <c r="J89" s="54" t="s">
        <v>206</v>
      </c>
    </row>
    <row r="90" spans="1:10" ht="54" customHeight="1">
      <c r="A90" s="53">
        <v>89</v>
      </c>
      <c r="B90" s="54" t="s">
        <v>12</v>
      </c>
      <c r="C90" s="54" t="s">
        <v>127</v>
      </c>
      <c r="D90" s="54" t="s">
        <v>361</v>
      </c>
      <c r="E90" s="54" t="s">
        <v>124</v>
      </c>
      <c r="F90" s="55"/>
      <c r="G90" s="54" t="s">
        <v>248</v>
      </c>
      <c r="H90" s="56">
        <v>0</v>
      </c>
      <c r="I90" s="54" t="s">
        <v>362</v>
      </c>
      <c r="J90" s="54" t="s">
        <v>206</v>
      </c>
    </row>
    <row r="91" spans="1:10" ht="54" customHeight="1">
      <c r="A91" s="53">
        <v>90</v>
      </c>
      <c r="B91" s="54" t="s">
        <v>12</v>
      </c>
      <c r="C91" s="54" t="s">
        <v>127</v>
      </c>
      <c r="D91" s="54" t="s">
        <v>363</v>
      </c>
      <c r="E91" s="54" t="s">
        <v>364</v>
      </c>
      <c r="F91" s="55"/>
      <c r="G91" s="54" t="s">
        <v>248</v>
      </c>
      <c r="H91" s="56">
        <v>0</v>
      </c>
      <c r="I91" s="54" t="s">
        <v>365</v>
      </c>
      <c r="J91" s="54" t="s">
        <v>222</v>
      </c>
    </row>
    <row r="92" spans="1:10" ht="91.5" customHeight="1">
      <c r="A92" s="31">
        <v>91</v>
      </c>
      <c r="B92" s="32" t="s">
        <v>10</v>
      </c>
      <c r="C92" s="32" t="s">
        <v>127</v>
      </c>
      <c r="D92" s="32" t="s">
        <v>366</v>
      </c>
      <c r="E92" s="32" t="s">
        <v>198</v>
      </c>
      <c r="F92" s="33">
        <v>46276</v>
      </c>
      <c r="G92" s="32" t="s">
        <v>5</v>
      </c>
      <c r="H92" s="34">
        <v>1</v>
      </c>
      <c r="I92" s="32" t="s">
        <v>367</v>
      </c>
      <c r="J92" s="32" t="s">
        <v>159</v>
      </c>
    </row>
    <row r="93" spans="1:10" ht="283.5" customHeight="1">
      <c r="A93" s="31">
        <v>92</v>
      </c>
      <c r="B93" s="32" t="s">
        <v>10</v>
      </c>
      <c r="C93" s="32" t="s">
        <v>127</v>
      </c>
      <c r="D93" s="32" t="s">
        <v>368</v>
      </c>
      <c r="E93" s="32" t="s">
        <v>343</v>
      </c>
      <c r="F93" s="33">
        <v>46276</v>
      </c>
      <c r="G93" s="32" t="s">
        <v>6</v>
      </c>
      <c r="H93" s="34">
        <v>0.5</v>
      </c>
      <c r="I93" s="32" t="s">
        <v>369</v>
      </c>
      <c r="J93" s="32" t="s">
        <v>159</v>
      </c>
    </row>
    <row r="94" spans="1:10" ht="66.75" customHeight="1">
      <c r="A94" s="49">
        <v>93</v>
      </c>
      <c r="B94" s="47" t="s">
        <v>11</v>
      </c>
      <c r="C94" s="47" t="s">
        <v>127</v>
      </c>
      <c r="D94" s="47" t="s">
        <v>370</v>
      </c>
      <c r="E94" s="47" t="s">
        <v>371</v>
      </c>
      <c r="F94" s="50">
        <v>46335</v>
      </c>
      <c r="G94" s="47" t="s">
        <v>6</v>
      </c>
      <c r="H94" s="51">
        <v>0.2</v>
      </c>
      <c r="I94" s="47" t="s">
        <v>372</v>
      </c>
      <c r="J94" s="47" t="s">
        <v>159</v>
      </c>
    </row>
    <row r="95" spans="1:10" ht="105" customHeight="1">
      <c r="A95" s="49">
        <v>94</v>
      </c>
      <c r="B95" s="47" t="s">
        <v>11</v>
      </c>
      <c r="C95" s="47" t="s">
        <v>127</v>
      </c>
      <c r="D95" s="47" t="s">
        <v>373</v>
      </c>
      <c r="E95" s="47" t="s">
        <v>374</v>
      </c>
      <c r="F95" s="50">
        <v>46335</v>
      </c>
      <c r="G95" s="47" t="s">
        <v>248</v>
      </c>
      <c r="H95" s="51">
        <v>0</v>
      </c>
      <c r="I95" s="47" t="s">
        <v>375</v>
      </c>
      <c r="J95" s="47" t="s">
        <v>283</v>
      </c>
    </row>
    <row r="96" spans="1:10" ht="66.75" customHeight="1">
      <c r="A96" s="49">
        <v>95</v>
      </c>
      <c r="B96" s="47" t="s">
        <v>11</v>
      </c>
      <c r="C96" s="47" t="s">
        <v>127</v>
      </c>
      <c r="D96" s="47" t="s">
        <v>376</v>
      </c>
      <c r="E96" s="47" t="s">
        <v>359</v>
      </c>
      <c r="F96" s="50"/>
      <c r="G96" s="47" t="s">
        <v>248</v>
      </c>
      <c r="H96" s="51">
        <v>0</v>
      </c>
      <c r="I96" s="47" t="s">
        <v>377</v>
      </c>
      <c r="J96" s="47" t="s">
        <v>283</v>
      </c>
    </row>
    <row r="97" spans="1:10" ht="66.75" customHeight="1">
      <c r="A97" s="53">
        <v>96</v>
      </c>
      <c r="B97" s="54" t="s">
        <v>12</v>
      </c>
      <c r="C97" s="54" t="s">
        <v>127</v>
      </c>
      <c r="D97" s="54" t="s">
        <v>378</v>
      </c>
      <c r="E97" s="54" t="s">
        <v>379</v>
      </c>
      <c r="F97" s="55">
        <v>46377</v>
      </c>
      <c r="G97" s="54" t="s">
        <v>248</v>
      </c>
      <c r="H97" s="56">
        <v>0</v>
      </c>
      <c r="I97" s="54" t="s">
        <v>380</v>
      </c>
      <c r="J97" s="54" t="s">
        <v>206</v>
      </c>
    </row>
    <row r="98" spans="1:10" ht="66.75" customHeight="1">
      <c r="A98" s="53">
        <v>97</v>
      </c>
      <c r="B98" s="54" t="s">
        <v>12</v>
      </c>
      <c r="C98" s="54" t="s">
        <v>127</v>
      </c>
      <c r="D98" s="54" t="s">
        <v>381</v>
      </c>
      <c r="E98" s="54" t="s">
        <v>198</v>
      </c>
      <c r="F98" s="55">
        <v>46436</v>
      </c>
      <c r="G98" s="54" t="s">
        <v>248</v>
      </c>
      <c r="H98" s="56">
        <v>0</v>
      </c>
      <c r="I98" s="54" t="s">
        <v>382</v>
      </c>
      <c r="J98" s="54" t="s">
        <v>206</v>
      </c>
    </row>
    <row r="99" spans="1:10" ht="91.5" customHeight="1">
      <c r="A99" s="53">
        <v>98</v>
      </c>
      <c r="B99" s="54" t="s">
        <v>12</v>
      </c>
      <c r="C99" s="54" t="s">
        <v>127</v>
      </c>
      <c r="D99" s="54" t="s">
        <v>383</v>
      </c>
      <c r="E99" s="54" t="s">
        <v>384</v>
      </c>
      <c r="F99" s="55">
        <v>46433</v>
      </c>
      <c r="G99" s="54" t="s">
        <v>248</v>
      </c>
      <c r="H99" s="56">
        <v>0</v>
      </c>
      <c r="I99" s="54" t="s">
        <v>385</v>
      </c>
      <c r="J99" s="54" t="s">
        <v>206</v>
      </c>
    </row>
    <row r="100" spans="1:10" ht="54" customHeight="1">
      <c r="A100" s="53">
        <v>99</v>
      </c>
      <c r="B100" s="54" t="s">
        <v>12</v>
      </c>
      <c r="C100" s="37" t="s">
        <v>134</v>
      </c>
      <c r="D100" s="57" t="s">
        <v>386</v>
      </c>
      <c r="E100" s="54" t="s">
        <v>387</v>
      </c>
      <c r="F100" s="55">
        <v>46447</v>
      </c>
      <c r="G100" s="54" t="s">
        <v>248</v>
      </c>
      <c r="H100" s="56">
        <v>0</v>
      </c>
      <c r="I100" s="54" t="s">
        <v>388</v>
      </c>
      <c r="J100" s="54" t="s">
        <v>206</v>
      </c>
    </row>
    <row r="101" spans="1:10" ht="91.5" customHeight="1">
      <c r="A101" s="31">
        <v>100</v>
      </c>
      <c r="B101" s="32" t="s">
        <v>10</v>
      </c>
      <c r="C101" s="32" t="s">
        <v>127</v>
      </c>
      <c r="D101" s="32" t="s">
        <v>389</v>
      </c>
      <c r="E101" s="32" t="s">
        <v>390</v>
      </c>
      <c r="F101" s="33">
        <v>46269</v>
      </c>
      <c r="G101" s="32" t="s">
        <v>248</v>
      </c>
      <c r="H101" s="34">
        <v>0</v>
      </c>
      <c r="I101" s="32" t="s">
        <v>391</v>
      </c>
      <c r="J101" s="32" t="s">
        <v>159</v>
      </c>
    </row>
    <row r="102" spans="1:10" ht="66.75" customHeight="1">
      <c r="A102" s="31">
        <v>101</v>
      </c>
      <c r="B102" s="32" t="s">
        <v>10</v>
      </c>
      <c r="C102" s="32" t="s">
        <v>127</v>
      </c>
      <c r="D102" s="32" t="s">
        <v>392</v>
      </c>
      <c r="E102" s="32" t="s">
        <v>387</v>
      </c>
      <c r="F102" s="33">
        <v>46276</v>
      </c>
      <c r="G102" s="32" t="s">
        <v>248</v>
      </c>
      <c r="H102" s="34">
        <v>0</v>
      </c>
      <c r="I102" s="32" t="s">
        <v>393</v>
      </c>
      <c r="J102" s="32" t="s">
        <v>146</v>
      </c>
    </row>
    <row r="103" spans="1:10" ht="54" customHeight="1">
      <c r="A103" s="31">
        <v>102</v>
      </c>
      <c r="B103" s="32" t="s">
        <v>10</v>
      </c>
      <c r="C103" s="32" t="s">
        <v>127</v>
      </c>
      <c r="D103" s="32" t="s">
        <v>394</v>
      </c>
      <c r="E103" s="32" t="s">
        <v>359</v>
      </c>
      <c r="F103" s="33">
        <v>46276</v>
      </c>
      <c r="G103" s="32" t="s">
        <v>248</v>
      </c>
      <c r="H103" s="34">
        <v>0</v>
      </c>
      <c r="I103" s="32" t="s">
        <v>395</v>
      </c>
      <c r="J103" s="32" t="s">
        <v>146</v>
      </c>
    </row>
    <row r="104" spans="1:10" ht="54" customHeight="1">
      <c r="A104" s="31">
        <v>103</v>
      </c>
      <c r="B104" s="32" t="s">
        <v>10</v>
      </c>
      <c r="C104" s="32" t="s">
        <v>127</v>
      </c>
      <c r="D104" s="32" t="s">
        <v>396</v>
      </c>
      <c r="E104" s="32" t="s">
        <v>397</v>
      </c>
      <c r="F104" s="33">
        <v>46276</v>
      </c>
      <c r="G104" s="32" t="s">
        <v>248</v>
      </c>
      <c r="H104" s="34">
        <v>0</v>
      </c>
      <c r="I104" s="32" t="s">
        <v>398</v>
      </c>
      <c r="J104" s="32" t="s">
        <v>222</v>
      </c>
    </row>
    <row r="105" spans="1:10" ht="54" customHeight="1">
      <c r="A105" s="31">
        <v>104</v>
      </c>
      <c r="B105" s="32" t="s">
        <v>10</v>
      </c>
      <c r="C105" s="32" t="s">
        <v>127</v>
      </c>
      <c r="D105" s="32" t="s">
        <v>399</v>
      </c>
      <c r="E105" s="32" t="s">
        <v>400</v>
      </c>
      <c r="F105" s="33"/>
      <c r="G105" s="32" t="s">
        <v>248</v>
      </c>
      <c r="H105" s="34">
        <v>0</v>
      </c>
      <c r="I105" s="32" t="s">
        <v>401</v>
      </c>
      <c r="J105" s="32" t="s">
        <v>222</v>
      </c>
    </row>
    <row r="106" spans="1:10" ht="130.5" customHeight="1">
      <c r="A106" s="31">
        <v>105</v>
      </c>
      <c r="B106" s="32" t="s">
        <v>10</v>
      </c>
      <c r="C106" s="58" t="s">
        <v>402</v>
      </c>
      <c r="D106" s="32" t="s">
        <v>403</v>
      </c>
      <c r="E106" s="32" t="s">
        <v>387</v>
      </c>
      <c r="F106" s="33">
        <v>46269</v>
      </c>
      <c r="G106" s="32" t="s">
        <v>5</v>
      </c>
      <c r="H106" s="34">
        <v>1</v>
      </c>
      <c r="I106" s="32" t="s">
        <v>404</v>
      </c>
      <c r="J106" s="32" t="s">
        <v>146</v>
      </c>
    </row>
    <row r="107" spans="1:10" ht="40.5" customHeight="1">
      <c r="A107" s="31">
        <v>106</v>
      </c>
      <c r="B107" s="32" t="s">
        <v>10</v>
      </c>
      <c r="C107" s="32" t="s">
        <v>127</v>
      </c>
      <c r="D107" s="32" t="s">
        <v>405</v>
      </c>
      <c r="E107" s="32" t="s">
        <v>406</v>
      </c>
      <c r="F107" s="33"/>
      <c r="G107" s="32" t="s">
        <v>248</v>
      </c>
      <c r="H107" s="34">
        <v>0</v>
      </c>
      <c r="I107" s="32" t="s">
        <v>407</v>
      </c>
      <c r="J107" s="32" t="s">
        <v>146</v>
      </c>
    </row>
    <row r="108" spans="1:10" ht="66.75" customHeight="1">
      <c r="A108" s="49">
        <v>107</v>
      </c>
      <c r="B108" s="47" t="s">
        <v>11</v>
      </c>
      <c r="C108" s="47" t="s">
        <v>127</v>
      </c>
      <c r="D108" s="47" t="s">
        <v>408</v>
      </c>
      <c r="E108" s="47" t="s">
        <v>409</v>
      </c>
      <c r="F108" s="50"/>
      <c r="G108" s="47" t="s">
        <v>248</v>
      </c>
      <c r="H108" s="51">
        <v>0</v>
      </c>
      <c r="I108" s="47" t="s">
        <v>410</v>
      </c>
      <c r="J108" s="47" t="s">
        <v>283</v>
      </c>
    </row>
    <row r="109" spans="1:10" ht="91.5" customHeight="1">
      <c r="A109" s="53">
        <v>108</v>
      </c>
      <c r="B109" s="54" t="s">
        <v>12</v>
      </c>
      <c r="C109" s="54" t="s">
        <v>127</v>
      </c>
      <c r="D109" s="54" t="s">
        <v>411</v>
      </c>
      <c r="E109" s="54" t="s">
        <v>104</v>
      </c>
      <c r="F109" s="55"/>
      <c r="G109" s="54" t="s">
        <v>248</v>
      </c>
      <c r="H109" s="56">
        <v>0</v>
      </c>
      <c r="I109" s="54" t="s">
        <v>412</v>
      </c>
      <c r="J109" s="54" t="s">
        <v>206</v>
      </c>
    </row>
    <row r="110" spans="1:10" ht="156" customHeight="1">
      <c r="A110" s="31">
        <v>109</v>
      </c>
      <c r="B110" s="32" t="s">
        <v>10</v>
      </c>
      <c r="C110" s="32" t="s">
        <v>127</v>
      </c>
      <c r="D110" s="32" t="s">
        <v>413</v>
      </c>
      <c r="E110" s="32" t="s">
        <v>414</v>
      </c>
      <c r="F110" s="33">
        <v>46269</v>
      </c>
      <c r="G110" s="32" t="s">
        <v>248</v>
      </c>
      <c r="H110" s="34">
        <v>0</v>
      </c>
      <c r="I110" s="32" t="s">
        <v>415</v>
      </c>
      <c r="J110" s="32" t="s">
        <v>146</v>
      </c>
    </row>
    <row r="111" spans="1:10" ht="168.75" customHeight="1">
      <c r="A111" s="31">
        <v>110</v>
      </c>
      <c r="B111" s="32" t="s">
        <v>10</v>
      </c>
      <c r="C111" s="32" t="s">
        <v>127</v>
      </c>
      <c r="D111" s="32" t="s">
        <v>416</v>
      </c>
      <c r="E111" s="32" t="s">
        <v>417</v>
      </c>
      <c r="F111" s="33">
        <v>46276</v>
      </c>
      <c r="G111" s="32" t="s">
        <v>248</v>
      </c>
      <c r="H111" s="34">
        <v>0</v>
      </c>
      <c r="I111" s="32" t="s">
        <v>418</v>
      </c>
      <c r="J111" s="32" t="s">
        <v>159</v>
      </c>
    </row>
    <row r="112" spans="1:10" ht="142.5" customHeight="1">
      <c r="A112" s="49">
        <v>111</v>
      </c>
      <c r="B112" s="47" t="s">
        <v>11</v>
      </c>
      <c r="C112" s="47" t="s">
        <v>127</v>
      </c>
      <c r="D112" s="47" t="s">
        <v>419</v>
      </c>
      <c r="E112" s="47" t="s">
        <v>420</v>
      </c>
      <c r="F112" s="50">
        <v>46335</v>
      </c>
      <c r="G112" s="47" t="s">
        <v>248</v>
      </c>
      <c r="H112" s="51">
        <v>0</v>
      </c>
      <c r="I112" s="47" t="s">
        <v>421</v>
      </c>
      <c r="J112" s="47" t="s">
        <v>283</v>
      </c>
    </row>
    <row r="113" spans="1:10" ht="193.5" customHeight="1">
      <c r="A113" s="53">
        <v>112</v>
      </c>
      <c r="B113" s="54" t="s">
        <v>12</v>
      </c>
      <c r="C113" s="54" t="s">
        <v>127</v>
      </c>
      <c r="D113" s="54" t="s">
        <v>422</v>
      </c>
      <c r="E113" s="54" t="s">
        <v>423</v>
      </c>
      <c r="F113" s="55">
        <v>46402</v>
      </c>
      <c r="G113" s="54" t="s">
        <v>248</v>
      </c>
      <c r="H113" s="56">
        <v>0</v>
      </c>
      <c r="I113" s="54" t="s">
        <v>424</v>
      </c>
      <c r="J113" s="54" t="s">
        <v>206</v>
      </c>
    </row>
    <row r="114" spans="1:10" ht="207" customHeight="1">
      <c r="A114" s="53">
        <v>113</v>
      </c>
      <c r="B114" s="54" t="s">
        <v>12</v>
      </c>
      <c r="C114" s="54" t="s">
        <v>127</v>
      </c>
      <c r="D114" s="54" t="s">
        <v>425</v>
      </c>
      <c r="E114" s="54" t="s">
        <v>426</v>
      </c>
      <c r="F114" s="55">
        <v>46402</v>
      </c>
      <c r="G114" s="54" t="s">
        <v>248</v>
      </c>
      <c r="H114" s="56">
        <v>0</v>
      </c>
      <c r="I114" s="54" t="s">
        <v>427</v>
      </c>
      <c r="J114" s="54" t="s">
        <v>206</v>
      </c>
    </row>
    <row r="115" spans="1:10" ht="54" customHeight="1">
      <c r="A115" s="53">
        <v>114</v>
      </c>
      <c r="B115" s="54" t="s">
        <v>12</v>
      </c>
      <c r="C115" s="54" t="s">
        <v>127</v>
      </c>
      <c r="D115" s="54" t="s">
        <v>428</v>
      </c>
      <c r="E115" s="54" t="s">
        <v>429</v>
      </c>
      <c r="F115" s="55">
        <v>46402</v>
      </c>
      <c r="G115" s="54" t="s">
        <v>248</v>
      </c>
      <c r="H115" s="56">
        <v>0</v>
      </c>
      <c r="I115" s="54" t="s">
        <v>430</v>
      </c>
      <c r="J115" s="54" t="s">
        <v>126</v>
      </c>
    </row>
    <row r="116" spans="1:10" ht="66.75" customHeight="1">
      <c r="A116" s="53">
        <v>115</v>
      </c>
      <c r="B116" s="54" t="s">
        <v>12</v>
      </c>
      <c r="C116" s="54" t="s">
        <v>127</v>
      </c>
      <c r="D116" s="54" t="s">
        <v>431</v>
      </c>
      <c r="E116" s="54" t="s">
        <v>161</v>
      </c>
      <c r="F116" s="55">
        <v>46307</v>
      </c>
      <c r="G116" s="54" t="s">
        <v>248</v>
      </c>
      <c r="H116" s="56">
        <v>0</v>
      </c>
      <c r="I116" s="54" t="s">
        <v>432</v>
      </c>
      <c r="J116" s="54" t="s">
        <v>278</v>
      </c>
    </row>
    <row r="117" spans="1:10" ht="130.5" customHeight="1">
      <c r="A117" s="53">
        <v>116</v>
      </c>
      <c r="B117" s="54" t="s">
        <v>12</v>
      </c>
      <c r="C117" s="54" t="s">
        <v>127</v>
      </c>
      <c r="D117" s="54" t="s">
        <v>433</v>
      </c>
      <c r="E117" s="54" t="s">
        <v>285</v>
      </c>
      <c r="F117" s="55"/>
      <c r="G117" s="54" t="s">
        <v>248</v>
      </c>
      <c r="H117" s="56">
        <v>0</v>
      </c>
      <c r="I117" s="54" t="s">
        <v>434</v>
      </c>
      <c r="J117" s="54" t="s">
        <v>206</v>
      </c>
    </row>
    <row r="118" spans="1:10" ht="142.5" customHeight="1">
      <c r="A118" s="31">
        <v>117</v>
      </c>
      <c r="B118" s="32" t="s">
        <v>10</v>
      </c>
      <c r="C118" s="32" t="s">
        <v>127</v>
      </c>
      <c r="D118" s="32" t="s">
        <v>435</v>
      </c>
      <c r="E118" s="32" t="s">
        <v>436</v>
      </c>
      <c r="F118" s="33">
        <v>46304</v>
      </c>
      <c r="G118" s="32" t="s">
        <v>248</v>
      </c>
      <c r="H118" s="34">
        <v>0</v>
      </c>
      <c r="I118" s="32" t="s">
        <v>437</v>
      </c>
      <c r="J118" s="32" t="s">
        <v>146</v>
      </c>
    </row>
    <row r="119" spans="1:10" ht="105" customHeight="1">
      <c r="A119" s="31">
        <v>118</v>
      </c>
      <c r="B119" s="32" t="s">
        <v>10</v>
      </c>
      <c r="C119" s="32" t="s">
        <v>127</v>
      </c>
      <c r="D119" s="32" t="s">
        <v>438</v>
      </c>
      <c r="E119" s="32" t="s">
        <v>439</v>
      </c>
      <c r="F119" s="33">
        <v>46304</v>
      </c>
      <c r="G119" s="32" t="s">
        <v>248</v>
      </c>
      <c r="H119" s="34">
        <v>0</v>
      </c>
      <c r="I119" s="32" t="s">
        <v>440</v>
      </c>
      <c r="J119" s="32" t="s">
        <v>146</v>
      </c>
    </row>
    <row r="120" spans="1:10" ht="79.5" customHeight="1">
      <c r="A120" s="49">
        <v>119</v>
      </c>
      <c r="B120" s="47" t="s">
        <v>11</v>
      </c>
      <c r="C120" s="37" t="s">
        <v>134</v>
      </c>
      <c r="D120" s="48" t="s">
        <v>441</v>
      </c>
      <c r="E120" s="47" t="s">
        <v>442</v>
      </c>
      <c r="F120" s="50">
        <v>46323</v>
      </c>
      <c r="G120" s="47" t="s">
        <v>248</v>
      </c>
      <c r="H120" s="51">
        <v>0</v>
      </c>
      <c r="I120" s="47" t="s">
        <v>443</v>
      </c>
      <c r="J120" s="47" t="s">
        <v>283</v>
      </c>
    </row>
    <row r="121" spans="1:10" ht="130.5" customHeight="1">
      <c r="A121" s="31">
        <v>120</v>
      </c>
      <c r="B121" s="32" t="s">
        <v>10</v>
      </c>
      <c r="C121" s="58" t="s">
        <v>402</v>
      </c>
      <c r="D121" s="32" t="s">
        <v>444</v>
      </c>
      <c r="E121" s="32" t="s">
        <v>445</v>
      </c>
      <c r="F121" s="33">
        <v>46269</v>
      </c>
      <c r="G121" s="32" t="s">
        <v>248</v>
      </c>
      <c r="H121" s="34">
        <v>0</v>
      </c>
      <c r="I121" s="32" t="s">
        <v>446</v>
      </c>
      <c r="J121" s="32" t="s">
        <v>126</v>
      </c>
    </row>
    <row r="122" spans="1:10" ht="79.5" customHeight="1">
      <c r="A122" s="59">
        <v>121</v>
      </c>
      <c r="B122" s="60" t="s">
        <v>13</v>
      </c>
      <c r="C122" s="60" t="s">
        <v>127</v>
      </c>
      <c r="D122" s="60" t="s">
        <v>447</v>
      </c>
      <c r="E122" s="60" t="s">
        <v>343</v>
      </c>
      <c r="F122" s="61">
        <v>46269</v>
      </c>
      <c r="G122" s="60" t="s">
        <v>5</v>
      </c>
      <c r="H122" s="62">
        <v>1</v>
      </c>
      <c r="I122" s="60" t="s">
        <v>448</v>
      </c>
      <c r="J122" s="60" t="s">
        <v>449</v>
      </c>
    </row>
    <row r="123" spans="1:10" ht="66.75" customHeight="1">
      <c r="A123" s="59">
        <v>122</v>
      </c>
      <c r="B123" s="60" t="s">
        <v>13</v>
      </c>
      <c r="C123" s="60" t="s">
        <v>127</v>
      </c>
      <c r="D123" s="60" t="s">
        <v>450</v>
      </c>
      <c r="E123" s="60" t="s">
        <v>57</v>
      </c>
      <c r="F123" s="61">
        <v>46276</v>
      </c>
      <c r="G123" s="60" t="s">
        <v>6</v>
      </c>
      <c r="H123" s="62">
        <v>0.5</v>
      </c>
      <c r="I123" s="60" t="s">
        <v>451</v>
      </c>
      <c r="J123" s="60" t="s">
        <v>126</v>
      </c>
    </row>
    <row r="124" spans="1:10" ht="142.5" customHeight="1">
      <c r="A124" s="59">
        <v>123</v>
      </c>
      <c r="B124" s="60" t="s">
        <v>13</v>
      </c>
      <c r="C124" s="60" t="s">
        <v>127</v>
      </c>
      <c r="D124" s="60" t="s">
        <v>452</v>
      </c>
      <c r="E124" s="60" t="s">
        <v>204</v>
      </c>
      <c r="F124" s="61">
        <v>46290</v>
      </c>
      <c r="G124" s="60" t="s">
        <v>6</v>
      </c>
      <c r="H124" s="62">
        <v>0.25</v>
      </c>
      <c r="I124" s="60" t="s">
        <v>453</v>
      </c>
      <c r="J124" s="60" t="s">
        <v>454</v>
      </c>
    </row>
    <row r="125" spans="1:10" ht="79.5" customHeight="1">
      <c r="A125" s="59">
        <v>124</v>
      </c>
      <c r="B125" s="60" t="s">
        <v>13</v>
      </c>
      <c r="C125" s="60" t="s">
        <v>127</v>
      </c>
      <c r="D125" s="60" t="s">
        <v>455</v>
      </c>
      <c r="E125" s="60" t="s">
        <v>456</v>
      </c>
      <c r="F125" s="61">
        <v>46290</v>
      </c>
      <c r="G125" s="60" t="s">
        <v>6</v>
      </c>
      <c r="H125" s="62">
        <v>0.25</v>
      </c>
      <c r="I125" s="60" t="s">
        <v>457</v>
      </c>
      <c r="J125" s="60" t="s">
        <v>126</v>
      </c>
    </row>
    <row r="126" spans="1:10" ht="66.75" customHeight="1">
      <c r="A126" s="59">
        <v>125</v>
      </c>
      <c r="B126" s="60" t="s">
        <v>13</v>
      </c>
      <c r="C126" s="60" t="s">
        <v>127</v>
      </c>
      <c r="D126" s="60" t="s">
        <v>458</v>
      </c>
      <c r="E126" s="60" t="s">
        <v>459</v>
      </c>
      <c r="F126" s="61">
        <v>46290</v>
      </c>
      <c r="G126" s="60" t="s">
        <v>6</v>
      </c>
      <c r="H126" s="62">
        <v>0.25</v>
      </c>
      <c r="I126" s="60" t="s">
        <v>460</v>
      </c>
      <c r="J126" s="60" t="s">
        <v>126</v>
      </c>
    </row>
    <row r="127" spans="1:10" ht="91.5" customHeight="1">
      <c r="A127" s="59">
        <v>126</v>
      </c>
      <c r="B127" s="60" t="s">
        <v>13</v>
      </c>
      <c r="C127" s="37" t="s">
        <v>134</v>
      </c>
      <c r="D127" s="63" t="s">
        <v>461</v>
      </c>
      <c r="E127" s="60" t="s">
        <v>285</v>
      </c>
      <c r="F127" s="61">
        <v>46276</v>
      </c>
      <c r="G127" s="60" t="s">
        <v>5</v>
      </c>
      <c r="H127" s="62">
        <v>1</v>
      </c>
      <c r="I127" s="60" t="s">
        <v>462</v>
      </c>
      <c r="J127" s="60" t="s">
        <v>463</v>
      </c>
    </row>
    <row r="128" spans="1:10" ht="105" customHeight="1">
      <c r="A128" s="59">
        <v>127</v>
      </c>
      <c r="B128" s="60" t="s">
        <v>13</v>
      </c>
      <c r="C128" s="64" t="s">
        <v>127</v>
      </c>
      <c r="D128" s="65" t="s">
        <v>464</v>
      </c>
      <c r="E128" s="60" t="s">
        <v>104</v>
      </c>
      <c r="F128" s="61">
        <v>46279</v>
      </c>
      <c r="G128" s="60" t="s">
        <v>5</v>
      </c>
      <c r="H128" s="62">
        <v>1</v>
      </c>
      <c r="I128" s="60" t="s">
        <v>465</v>
      </c>
      <c r="J128" s="60" t="s">
        <v>466</v>
      </c>
    </row>
    <row r="129" spans="1:10" ht="40.5" customHeight="1">
      <c r="A129" s="59">
        <v>128</v>
      </c>
      <c r="B129" s="60" t="s">
        <v>13</v>
      </c>
      <c r="C129" s="60" t="s">
        <v>127</v>
      </c>
      <c r="D129" s="60" t="s">
        <v>467</v>
      </c>
      <c r="E129" s="60" t="s">
        <v>104</v>
      </c>
      <c r="F129" s="61">
        <v>46276</v>
      </c>
      <c r="G129" s="60" t="s">
        <v>5</v>
      </c>
      <c r="H129" s="62">
        <v>1</v>
      </c>
      <c r="I129" s="60" t="s">
        <v>468</v>
      </c>
      <c r="J129" s="60" t="s">
        <v>469</v>
      </c>
    </row>
    <row r="130" spans="1:10" ht="91.5" customHeight="1">
      <c r="A130" s="59">
        <v>129</v>
      </c>
      <c r="B130" s="60" t="s">
        <v>13</v>
      </c>
      <c r="C130" s="60" t="s">
        <v>127</v>
      </c>
      <c r="D130" s="60" t="s">
        <v>470</v>
      </c>
      <c r="E130" s="60" t="s">
        <v>104</v>
      </c>
      <c r="F130" s="61">
        <v>46286</v>
      </c>
      <c r="G130" s="60" t="s">
        <v>5</v>
      </c>
      <c r="H130" s="62">
        <v>1</v>
      </c>
      <c r="I130" s="60" t="s">
        <v>471</v>
      </c>
      <c r="J130" s="60" t="s">
        <v>472</v>
      </c>
    </row>
    <row r="131" spans="1:10" ht="66.75" customHeight="1">
      <c r="A131" s="59">
        <v>130</v>
      </c>
      <c r="B131" s="60" t="s">
        <v>13</v>
      </c>
      <c r="C131" s="60" t="s">
        <v>127</v>
      </c>
      <c r="D131" s="60" t="s">
        <v>473</v>
      </c>
      <c r="E131" s="60" t="s">
        <v>57</v>
      </c>
      <c r="F131" s="61">
        <v>46293</v>
      </c>
      <c r="G131" s="60" t="s">
        <v>6</v>
      </c>
      <c r="H131" s="62">
        <v>0.1</v>
      </c>
      <c r="I131" s="60" t="s">
        <v>474</v>
      </c>
      <c r="J131" s="60" t="s">
        <v>475</v>
      </c>
    </row>
    <row r="132" spans="1:10" ht="117.75" customHeight="1">
      <c r="A132" s="59">
        <v>131</v>
      </c>
      <c r="B132" s="60" t="s">
        <v>13</v>
      </c>
      <c r="C132" s="60" t="s">
        <v>127</v>
      </c>
      <c r="D132" s="60" t="s">
        <v>476</v>
      </c>
      <c r="E132" s="60" t="s">
        <v>477</v>
      </c>
      <c r="F132" s="61">
        <v>46274</v>
      </c>
      <c r="G132" s="60" t="s">
        <v>5</v>
      </c>
      <c r="H132" s="62">
        <v>1</v>
      </c>
      <c r="I132" s="60" t="s">
        <v>478</v>
      </c>
      <c r="J132" s="60" t="s">
        <v>479</v>
      </c>
    </row>
    <row r="133" spans="1:10" ht="79.5" customHeight="1">
      <c r="A133" s="59">
        <v>132</v>
      </c>
      <c r="B133" s="60" t="s">
        <v>13</v>
      </c>
      <c r="C133" s="37" t="s">
        <v>134</v>
      </c>
      <c r="D133" s="63" t="s">
        <v>480</v>
      </c>
      <c r="E133" s="60" t="s">
        <v>481</v>
      </c>
      <c r="F133" s="61">
        <v>46322</v>
      </c>
      <c r="G133" s="60" t="s">
        <v>6</v>
      </c>
      <c r="H133" s="62">
        <v>0</v>
      </c>
      <c r="I133" s="60" t="s">
        <v>482</v>
      </c>
      <c r="J133" s="60" t="s">
        <v>483</v>
      </c>
    </row>
    <row r="134" spans="1:10" ht="66.75" customHeight="1">
      <c r="A134" s="59">
        <v>133</v>
      </c>
      <c r="B134" s="60" t="s">
        <v>13</v>
      </c>
      <c r="C134" s="60" t="s">
        <v>127</v>
      </c>
      <c r="D134" s="60" t="s">
        <v>484</v>
      </c>
      <c r="E134" s="60" t="s">
        <v>485</v>
      </c>
      <c r="F134" s="61">
        <v>46324</v>
      </c>
      <c r="G134" s="60" t="s">
        <v>248</v>
      </c>
      <c r="H134" s="62">
        <v>0</v>
      </c>
      <c r="I134" s="60" t="s">
        <v>486</v>
      </c>
      <c r="J134" s="60" t="s">
        <v>487</v>
      </c>
    </row>
    <row r="135" spans="1:10" ht="54" customHeight="1">
      <c r="A135" s="59">
        <v>134</v>
      </c>
      <c r="B135" s="60" t="s">
        <v>13</v>
      </c>
      <c r="C135" s="60" t="s">
        <v>127</v>
      </c>
      <c r="D135" s="60" t="s">
        <v>488</v>
      </c>
      <c r="E135" s="60" t="s">
        <v>485</v>
      </c>
      <c r="F135" s="61">
        <v>46297</v>
      </c>
      <c r="G135" s="60" t="s">
        <v>248</v>
      </c>
      <c r="H135" s="62">
        <v>0</v>
      </c>
      <c r="I135" s="60" t="s">
        <v>489</v>
      </c>
      <c r="J135" s="60" t="s">
        <v>490</v>
      </c>
    </row>
    <row r="136" spans="1:10" ht="105" customHeight="1">
      <c r="A136" s="59">
        <v>135</v>
      </c>
      <c r="B136" s="60" t="s">
        <v>13</v>
      </c>
      <c r="C136" s="60" t="s">
        <v>127</v>
      </c>
      <c r="D136" s="60" t="s">
        <v>491</v>
      </c>
      <c r="E136" s="60" t="s">
        <v>492</v>
      </c>
      <c r="F136" s="61">
        <v>46297</v>
      </c>
      <c r="G136" s="60" t="s">
        <v>248</v>
      </c>
      <c r="H136" s="62">
        <v>0</v>
      </c>
      <c r="I136" s="60" t="s">
        <v>493</v>
      </c>
      <c r="J136" s="60" t="s">
        <v>494</v>
      </c>
    </row>
    <row r="137" spans="1:10" ht="54" customHeight="1">
      <c r="A137" s="59">
        <v>136</v>
      </c>
      <c r="B137" s="60" t="s">
        <v>13</v>
      </c>
      <c r="C137" s="37" t="s">
        <v>134</v>
      </c>
      <c r="D137" s="63" t="s">
        <v>495</v>
      </c>
      <c r="E137" s="60" t="s">
        <v>104</v>
      </c>
      <c r="F137" s="61">
        <v>46297</v>
      </c>
      <c r="G137" s="60" t="s">
        <v>248</v>
      </c>
      <c r="H137" s="62">
        <v>0</v>
      </c>
      <c r="I137" s="60" t="s">
        <v>496</v>
      </c>
      <c r="J137" s="60" t="s">
        <v>497</v>
      </c>
    </row>
    <row r="138" spans="1:10" ht="40.5" customHeight="1">
      <c r="A138" s="59">
        <v>137</v>
      </c>
      <c r="B138" s="60" t="s">
        <v>13</v>
      </c>
      <c r="C138" s="60" t="s">
        <v>127</v>
      </c>
      <c r="D138" s="60" t="s">
        <v>498</v>
      </c>
      <c r="E138" s="60" t="s">
        <v>499</v>
      </c>
      <c r="F138" s="61">
        <v>46290</v>
      </c>
      <c r="G138" s="60" t="s">
        <v>248</v>
      </c>
      <c r="H138" s="62">
        <v>0</v>
      </c>
      <c r="I138" s="60" t="s">
        <v>500</v>
      </c>
      <c r="J138" s="60" t="s">
        <v>501</v>
      </c>
    </row>
    <row r="139" spans="1:10" ht="117.75" customHeight="1">
      <c r="A139" s="59">
        <v>138</v>
      </c>
      <c r="B139" s="60" t="s">
        <v>13</v>
      </c>
      <c r="C139" s="60" t="s">
        <v>127</v>
      </c>
      <c r="D139" s="60" t="s">
        <v>502</v>
      </c>
      <c r="E139" s="60" t="s">
        <v>477</v>
      </c>
      <c r="F139" s="61">
        <v>46283</v>
      </c>
      <c r="G139" s="60" t="s">
        <v>248</v>
      </c>
      <c r="H139" s="62">
        <v>0</v>
      </c>
      <c r="I139" s="60" t="s">
        <v>503</v>
      </c>
      <c r="J139" s="60" t="s">
        <v>126</v>
      </c>
    </row>
    <row r="140" spans="1:10" ht="142.5" customHeight="1">
      <c r="A140" s="59">
        <v>139</v>
      </c>
      <c r="B140" s="60" t="s">
        <v>13</v>
      </c>
      <c r="C140" s="60" t="s">
        <v>127</v>
      </c>
      <c r="D140" s="60" t="s">
        <v>504</v>
      </c>
      <c r="E140" s="60" t="s">
        <v>208</v>
      </c>
      <c r="F140" s="61">
        <v>46304</v>
      </c>
      <c r="G140" s="60" t="s">
        <v>5</v>
      </c>
      <c r="H140" s="62">
        <v>1</v>
      </c>
      <c r="I140" s="60" t="s">
        <v>505</v>
      </c>
      <c r="J140" s="60" t="s">
        <v>126</v>
      </c>
    </row>
    <row r="141" spans="1:10" ht="79.5" customHeight="1">
      <c r="A141" s="59">
        <v>140</v>
      </c>
      <c r="B141" s="60" t="s">
        <v>13</v>
      </c>
      <c r="C141" s="60" t="s">
        <v>127</v>
      </c>
      <c r="D141" s="60" t="s">
        <v>506</v>
      </c>
      <c r="E141" s="60" t="s">
        <v>492</v>
      </c>
      <c r="F141" s="61"/>
      <c r="G141" s="60" t="s">
        <v>248</v>
      </c>
      <c r="H141" s="62">
        <v>0</v>
      </c>
      <c r="I141" s="60" t="s">
        <v>507</v>
      </c>
      <c r="J141" s="60" t="s">
        <v>126</v>
      </c>
    </row>
    <row r="142" spans="1:10" ht="91.5" customHeight="1">
      <c r="A142" s="59">
        <v>141</v>
      </c>
      <c r="B142" s="60" t="s">
        <v>13</v>
      </c>
      <c r="C142" s="60" t="s">
        <v>127</v>
      </c>
      <c r="D142" s="60" t="s">
        <v>508</v>
      </c>
      <c r="E142" s="60" t="s">
        <v>492</v>
      </c>
      <c r="F142" s="61"/>
      <c r="G142" s="60" t="s">
        <v>248</v>
      </c>
      <c r="H142" s="62">
        <v>0</v>
      </c>
      <c r="I142" s="60" t="s">
        <v>509</v>
      </c>
      <c r="J142" s="60" t="s">
        <v>126</v>
      </c>
    </row>
    <row r="143" spans="1:10" ht="91.5" customHeight="1">
      <c r="A143" s="66">
        <v>142</v>
      </c>
      <c r="B143" s="67" t="s">
        <v>14</v>
      </c>
      <c r="C143" s="37" t="s">
        <v>134</v>
      </c>
      <c r="D143" s="68" t="s">
        <v>510</v>
      </c>
      <c r="E143" s="67" t="s">
        <v>104</v>
      </c>
      <c r="F143" s="69">
        <v>46300</v>
      </c>
      <c r="G143" s="67" t="s">
        <v>248</v>
      </c>
      <c r="H143" s="70">
        <v>0</v>
      </c>
      <c r="I143" s="67" t="s">
        <v>511</v>
      </c>
      <c r="J143" s="67" t="s">
        <v>512</v>
      </c>
    </row>
    <row r="144" spans="1:10" ht="54" customHeight="1">
      <c r="A144" s="66">
        <v>143</v>
      </c>
      <c r="B144" s="67" t="s">
        <v>14</v>
      </c>
      <c r="C144" s="67" t="s">
        <v>127</v>
      </c>
      <c r="D144" s="67" t="s">
        <v>513</v>
      </c>
      <c r="E144" s="67" t="s">
        <v>104</v>
      </c>
      <c r="F144" s="69">
        <v>46304</v>
      </c>
      <c r="G144" s="67" t="s">
        <v>248</v>
      </c>
      <c r="H144" s="70">
        <v>0</v>
      </c>
      <c r="I144" s="67" t="s">
        <v>514</v>
      </c>
      <c r="J144" s="67" t="s">
        <v>515</v>
      </c>
    </row>
    <row r="145" spans="1:10" ht="40.5" customHeight="1">
      <c r="A145" s="66">
        <v>144</v>
      </c>
      <c r="B145" s="67" t="s">
        <v>14</v>
      </c>
      <c r="C145" s="37" t="s">
        <v>134</v>
      </c>
      <c r="D145" s="68" t="s">
        <v>516</v>
      </c>
      <c r="E145" s="67" t="s">
        <v>104</v>
      </c>
      <c r="F145" s="69">
        <v>46311</v>
      </c>
      <c r="G145" s="67" t="s">
        <v>248</v>
      </c>
      <c r="H145" s="70">
        <v>0</v>
      </c>
      <c r="I145" s="67" t="s">
        <v>517</v>
      </c>
      <c r="J145" s="67" t="s">
        <v>518</v>
      </c>
    </row>
    <row r="146" spans="1:10" ht="117.75" customHeight="1">
      <c r="A146" s="66">
        <v>145</v>
      </c>
      <c r="B146" s="67" t="s">
        <v>14</v>
      </c>
      <c r="C146" s="37" t="s">
        <v>134</v>
      </c>
      <c r="D146" s="68" t="s">
        <v>519</v>
      </c>
      <c r="E146" s="67" t="s">
        <v>359</v>
      </c>
      <c r="F146" s="69">
        <v>46318</v>
      </c>
      <c r="G146" s="67" t="s">
        <v>248</v>
      </c>
      <c r="H146" s="70">
        <v>0</v>
      </c>
      <c r="I146" s="67" t="s">
        <v>520</v>
      </c>
      <c r="J146" s="67" t="s">
        <v>521</v>
      </c>
    </row>
    <row r="147" spans="1:10" ht="66.75" customHeight="1">
      <c r="A147" s="66">
        <v>146</v>
      </c>
      <c r="B147" s="67" t="s">
        <v>14</v>
      </c>
      <c r="C147" s="67" t="s">
        <v>127</v>
      </c>
      <c r="D147" s="67" t="s">
        <v>522</v>
      </c>
      <c r="E147" s="67" t="s">
        <v>499</v>
      </c>
      <c r="F147" s="69">
        <v>46318</v>
      </c>
      <c r="G147" s="67" t="s">
        <v>248</v>
      </c>
      <c r="H147" s="70">
        <v>0</v>
      </c>
      <c r="I147" s="67" t="s">
        <v>523</v>
      </c>
      <c r="J147" s="67" t="s">
        <v>524</v>
      </c>
    </row>
    <row r="148" spans="1:10" ht="54" customHeight="1">
      <c r="A148" s="66">
        <v>147</v>
      </c>
      <c r="B148" s="67" t="s">
        <v>14</v>
      </c>
      <c r="C148" s="37" t="s">
        <v>134</v>
      </c>
      <c r="D148" s="68" t="s">
        <v>525</v>
      </c>
      <c r="E148" s="67" t="s">
        <v>104</v>
      </c>
      <c r="F148" s="69">
        <v>46314</v>
      </c>
      <c r="G148" s="67" t="s">
        <v>248</v>
      </c>
      <c r="H148" s="70">
        <v>0</v>
      </c>
      <c r="I148" s="67" t="s">
        <v>526</v>
      </c>
      <c r="J148" s="67" t="s">
        <v>527</v>
      </c>
    </row>
    <row r="149" spans="1:10" ht="28.5" customHeight="1">
      <c r="A149" s="66">
        <v>148</v>
      </c>
      <c r="B149" s="67" t="s">
        <v>14</v>
      </c>
      <c r="C149" s="37" t="s">
        <v>134</v>
      </c>
      <c r="D149" s="68" t="s">
        <v>528</v>
      </c>
      <c r="E149" s="67" t="s">
        <v>104</v>
      </c>
      <c r="F149" s="69">
        <v>46325</v>
      </c>
      <c r="G149" s="67" t="s">
        <v>248</v>
      </c>
      <c r="H149" s="70">
        <v>0</v>
      </c>
      <c r="I149" s="67" t="s">
        <v>529</v>
      </c>
      <c r="J149" s="67" t="s">
        <v>530</v>
      </c>
    </row>
    <row r="150" spans="1:10" ht="79.5" customHeight="1">
      <c r="A150" s="66">
        <v>149</v>
      </c>
      <c r="B150" s="67" t="s">
        <v>14</v>
      </c>
      <c r="C150" s="37" t="s">
        <v>134</v>
      </c>
      <c r="D150" s="68" t="s">
        <v>531</v>
      </c>
      <c r="E150" s="67" t="s">
        <v>359</v>
      </c>
      <c r="F150" s="69">
        <v>46332</v>
      </c>
      <c r="G150" s="67" t="s">
        <v>248</v>
      </c>
      <c r="H150" s="70">
        <v>0</v>
      </c>
      <c r="I150" s="67" t="s">
        <v>532</v>
      </c>
      <c r="J150" s="67" t="s">
        <v>533</v>
      </c>
    </row>
    <row r="151" spans="1:10" ht="66.75" customHeight="1">
      <c r="A151" s="66">
        <v>150</v>
      </c>
      <c r="B151" s="67" t="s">
        <v>14</v>
      </c>
      <c r="C151" s="67" t="s">
        <v>127</v>
      </c>
      <c r="D151" s="67" t="s">
        <v>534</v>
      </c>
      <c r="E151" s="67" t="s">
        <v>499</v>
      </c>
      <c r="F151" s="69">
        <v>46332</v>
      </c>
      <c r="G151" s="67" t="s">
        <v>248</v>
      </c>
      <c r="H151" s="70">
        <v>0</v>
      </c>
      <c r="I151" s="67" t="s">
        <v>535</v>
      </c>
      <c r="J151" s="67" t="s">
        <v>536</v>
      </c>
    </row>
    <row r="152" spans="1:10" ht="54" customHeight="1">
      <c r="A152" s="66">
        <v>151</v>
      </c>
      <c r="B152" s="67" t="s">
        <v>14</v>
      </c>
      <c r="C152" s="67" t="s">
        <v>127</v>
      </c>
      <c r="D152" s="67" t="s">
        <v>537</v>
      </c>
      <c r="E152" s="67" t="s">
        <v>538</v>
      </c>
      <c r="F152" s="69">
        <v>46332</v>
      </c>
      <c r="G152" s="67" t="s">
        <v>248</v>
      </c>
      <c r="H152" s="70">
        <v>0</v>
      </c>
      <c r="I152" s="67" t="s">
        <v>539</v>
      </c>
      <c r="J152" s="67" t="s">
        <v>540</v>
      </c>
    </row>
    <row r="153" spans="1:10" ht="117.75" customHeight="1">
      <c r="A153" s="66">
        <v>152</v>
      </c>
      <c r="B153" s="67" t="s">
        <v>14</v>
      </c>
      <c r="C153" s="37" t="s">
        <v>134</v>
      </c>
      <c r="D153" s="68" t="s">
        <v>541</v>
      </c>
      <c r="E153" s="67" t="s">
        <v>104</v>
      </c>
      <c r="F153" s="69">
        <v>46328</v>
      </c>
      <c r="G153" s="67" t="s">
        <v>248</v>
      </c>
      <c r="H153" s="70">
        <v>0</v>
      </c>
      <c r="I153" s="67" t="s">
        <v>542</v>
      </c>
      <c r="J153" s="67" t="s">
        <v>543</v>
      </c>
    </row>
    <row r="154" spans="1:10" ht="54" customHeight="1">
      <c r="A154" s="66">
        <v>153</v>
      </c>
      <c r="B154" s="67" t="s">
        <v>14</v>
      </c>
      <c r="C154" s="67" t="s">
        <v>127</v>
      </c>
      <c r="D154" s="67" t="s">
        <v>544</v>
      </c>
      <c r="E154" s="67" t="s">
        <v>104</v>
      </c>
      <c r="F154" s="69">
        <v>46335</v>
      </c>
      <c r="G154" s="67" t="s">
        <v>248</v>
      </c>
      <c r="H154" s="70">
        <v>0</v>
      </c>
      <c r="I154" s="67" t="s">
        <v>545</v>
      </c>
      <c r="J154" s="67" t="s">
        <v>546</v>
      </c>
    </row>
    <row r="155" spans="1:10" ht="28.5" customHeight="1">
      <c r="A155" s="66">
        <v>154</v>
      </c>
      <c r="B155" s="67" t="s">
        <v>14</v>
      </c>
      <c r="C155" s="37" t="s">
        <v>134</v>
      </c>
      <c r="D155" s="68" t="s">
        <v>547</v>
      </c>
      <c r="E155" s="67" t="s">
        <v>104</v>
      </c>
      <c r="F155" s="69">
        <v>46339</v>
      </c>
      <c r="G155" s="67" t="s">
        <v>248</v>
      </c>
      <c r="H155" s="70">
        <v>0</v>
      </c>
      <c r="I155" s="67" t="s">
        <v>548</v>
      </c>
      <c r="J155" s="67" t="s">
        <v>549</v>
      </c>
    </row>
    <row r="156" spans="1:10" ht="130.5" customHeight="1">
      <c r="A156" s="66">
        <v>155</v>
      </c>
      <c r="B156" s="67" t="s">
        <v>14</v>
      </c>
      <c r="C156" s="37" t="s">
        <v>134</v>
      </c>
      <c r="D156" s="68" t="s">
        <v>550</v>
      </c>
      <c r="E156" s="67" t="s">
        <v>359</v>
      </c>
      <c r="F156" s="69">
        <v>46346</v>
      </c>
      <c r="G156" s="67" t="s">
        <v>248</v>
      </c>
      <c r="H156" s="70">
        <v>0</v>
      </c>
      <c r="I156" s="67" t="s">
        <v>551</v>
      </c>
      <c r="J156" s="67" t="s">
        <v>552</v>
      </c>
    </row>
    <row r="157" spans="1:10" ht="66.75" customHeight="1">
      <c r="A157" s="71">
        <v>156</v>
      </c>
      <c r="B157" s="72" t="s">
        <v>15</v>
      </c>
      <c r="C157" s="37" t="s">
        <v>134</v>
      </c>
      <c r="D157" s="73" t="s">
        <v>553</v>
      </c>
      <c r="E157" s="72" t="s">
        <v>285</v>
      </c>
      <c r="F157" s="74">
        <v>46356</v>
      </c>
      <c r="G157" s="72" t="s">
        <v>248</v>
      </c>
      <c r="H157" s="75">
        <v>0</v>
      </c>
      <c r="I157" s="72" t="s">
        <v>554</v>
      </c>
      <c r="J157" s="72" t="s">
        <v>555</v>
      </c>
    </row>
    <row r="158" spans="1:10" ht="54" customHeight="1">
      <c r="A158" s="71">
        <v>157</v>
      </c>
      <c r="B158" s="72" t="s">
        <v>15</v>
      </c>
      <c r="C158" s="72" t="s">
        <v>127</v>
      </c>
      <c r="D158" s="72" t="s">
        <v>556</v>
      </c>
      <c r="E158" s="72" t="s">
        <v>557</v>
      </c>
      <c r="F158" s="74">
        <v>46359</v>
      </c>
      <c r="G158" s="72" t="s">
        <v>248</v>
      </c>
      <c r="H158" s="75">
        <v>0</v>
      </c>
      <c r="I158" s="72" t="s">
        <v>558</v>
      </c>
      <c r="J158" s="72" t="s">
        <v>559</v>
      </c>
    </row>
    <row r="159" spans="1:10" ht="54" customHeight="1">
      <c r="A159" s="71">
        <v>158</v>
      </c>
      <c r="B159" s="72" t="s">
        <v>15</v>
      </c>
      <c r="C159" s="37" t="s">
        <v>134</v>
      </c>
      <c r="D159" s="73" t="s">
        <v>560</v>
      </c>
      <c r="E159" s="72" t="s">
        <v>359</v>
      </c>
      <c r="F159" s="74"/>
      <c r="G159" s="72" t="s">
        <v>248</v>
      </c>
      <c r="H159" s="75">
        <v>0</v>
      </c>
      <c r="I159" s="72" t="s">
        <v>561</v>
      </c>
      <c r="J159" s="72" t="s">
        <v>562</v>
      </c>
    </row>
    <row r="160" spans="1:10" ht="54" customHeight="1">
      <c r="A160" s="71">
        <v>159</v>
      </c>
      <c r="B160" s="72" t="s">
        <v>15</v>
      </c>
      <c r="C160" s="72" t="s">
        <v>127</v>
      </c>
      <c r="D160" s="72" t="s">
        <v>563</v>
      </c>
      <c r="E160" s="72" t="s">
        <v>359</v>
      </c>
      <c r="F160" s="74"/>
      <c r="G160" s="72" t="s">
        <v>248</v>
      </c>
      <c r="H160" s="75">
        <v>0</v>
      </c>
      <c r="I160" s="72" t="s">
        <v>564</v>
      </c>
      <c r="J160" s="72" t="s">
        <v>565</v>
      </c>
    </row>
    <row r="161" spans="1:10" ht="91.5" customHeight="1">
      <c r="A161" s="71">
        <v>160</v>
      </c>
      <c r="B161" s="72" t="s">
        <v>15</v>
      </c>
      <c r="C161" s="72" t="s">
        <v>127</v>
      </c>
      <c r="D161" s="72" t="s">
        <v>566</v>
      </c>
      <c r="E161" s="72" t="s">
        <v>567</v>
      </c>
      <c r="F161" s="74"/>
      <c r="G161" s="72" t="s">
        <v>248</v>
      </c>
      <c r="H161" s="75">
        <v>0</v>
      </c>
      <c r="I161" s="72" t="s">
        <v>568</v>
      </c>
      <c r="J161" s="72" t="s">
        <v>126</v>
      </c>
    </row>
    <row r="162" spans="1:10" ht="66.75" customHeight="1">
      <c r="A162" s="71">
        <v>161</v>
      </c>
      <c r="B162" s="72" t="s">
        <v>15</v>
      </c>
      <c r="C162" s="72" t="s">
        <v>127</v>
      </c>
      <c r="D162" s="72" t="s">
        <v>569</v>
      </c>
      <c r="E162" s="72" t="s">
        <v>104</v>
      </c>
      <c r="F162" s="74"/>
      <c r="G162" s="72" t="s">
        <v>248</v>
      </c>
      <c r="H162" s="75">
        <v>0</v>
      </c>
      <c r="I162" s="72" t="s">
        <v>570</v>
      </c>
      <c r="J162" s="72" t="s">
        <v>571</v>
      </c>
    </row>
    <row r="163" spans="1:10" ht="79.5" customHeight="1">
      <c r="A163" s="71">
        <v>162</v>
      </c>
      <c r="B163" s="72" t="s">
        <v>15</v>
      </c>
      <c r="C163" s="72" t="s">
        <v>127</v>
      </c>
      <c r="D163" s="72" t="s">
        <v>572</v>
      </c>
      <c r="E163" s="72" t="s">
        <v>573</v>
      </c>
      <c r="F163" s="74"/>
      <c r="G163" s="72" t="s">
        <v>248</v>
      </c>
      <c r="H163" s="75">
        <v>0</v>
      </c>
      <c r="I163" s="72" t="s">
        <v>574</v>
      </c>
      <c r="J163" s="72" t="s">
        <v>575</v>
      </c>
    </row>
    <row r="164" spans="1:10" ht="79.5" customHeight="1">
      <c r="A164" s="71">
        <v>163</v>
      </c>
      <c r="B164" s="72" t="s">
        <v>15</v>
      </c>
      <c r="C164" s="37" t="s">
        <v>134</v>
      </c>
      <c r="D164" s="73" t="s">
        <v>576</v>
      </c>
      <c r="E164" s="72" t="s">
        <v>577</v>
      </c>
      <c r="F164" s="74"/>
      <c r="G164" s="72" t="s">
        <v>248</v>
      </c>
      <c r="H164" s="75">
        <v>0</v>
      </c>
      <c r="I164" s="72" t="s">
        <v>578</v>
      </c>
      <c r="J164" s="72" t="s">
        <v>579</v>
      </c>
    </row>
    <row r="165" spans="1:10" ht="66.75" customHeight="1">
      <c r="A165" s="71">
        <v>164</v>
      </c>
      <c r="B165" s="72" t="s">
        <v>15</v>
      </c>
      <c r="C165" s="72" t="s">
        <v>127</v>
      </c>
      <c r="D165" s="72" t="s">
        <v>580</v>
      </c>
      <c r="E165" s="72" t="s">
        <v>581</v>
      </c>
      <c r="F165" s="74"/>
      <c r="G165" s="72" t="s">
        <v>248</v>
      </c>
      <c r="H165" s="75">
        <v>0</v>
      </c>
      <c r="I165" s="72" t="s">
        <v>582</v>
      </c>
      <c r="J165" s="72" t="s">
        <v>126</v>
      </c>
    </row>
  </sheetData>
  <conditionalFormatting sqref="G2:G165">
    <cfRule type="cellIs" dxfId="10" priority="2" operator="equal">
      <formula>"Complete"</formula>
    </cfRule>
    <cfRule type="cellIs" dxfId="9" priority="3" operator="equal">
      <formula>"Done"</formula>
    </cfRule>
    <cfRule type="cellIs" dxfId="8" priority="4" operator="equal">
      <formula>"In Progress"</formula>
    </cfRule>
    <cfRule type="cellIs" dxfId="7" priority="5" operator="equal">
      <formula>"Not Started"</formula>
    </cfRule>
    <cfRule type="cellIs" dxfId="6" priority="6" operator="equal">
      <formula>"Deferred"</formula>
    </cfRule>
  </conditionalFormatting>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13D7A"/>
    <pageSetUpPr fitToPage="1"/>
  </sheetPr>
  <dimension ref="A1:C23"/>
  <sheetViews>
    <sheetView showGridLines="0" zoomScaleNormal="100" workbookViewId="0">
      <pane ySplit="1" topLeftCell="A2" activePane="bottomLeft" state="frozen"/>
      <selection pane="bottomLeft" activeCell="A5" sqref="A5"/>
    </sheetView>
  </sheetViews>
  <sheetFormatPr defaultColWidth="8.5703125" defaultRowHeight="14.25"/>
  <cols>
    <col min="1" max="1" width="14" style="1" customWidth="1"/>
    <col min="2" max="2" width="34" style="1" customWidth="1"/>
    <col min="3" max="3" width="78" style="1" customWidth="1"/>
  </cols>
  <sheetData>
    <row r="1" spans="1:3" ht="15.75" customHeight="1">
      <c r="A1" s="3" t="s">
        <v>583</v>
      </c>
      <c r="B1" s="3" t="s">
        <v>134</v>
      </c>
      <c r="C1" s="3" t="s">
        <v>584</v>
      </c>
    </row>
    <row r="2" spans="1:3" ht="28.5" customHeight="1">
      <c r="A2" s="76">
        <v>46258</v>
      </c>
      <c r="B2" s="77" t="s">
        <v>585</v>
      </c>
      <c r="C2" s="12" t="s">
        <v>586</v>
      </c>
    </row>
    <row r="3" spans="1:3" ht="40.5" customHeight="1">
      <c r="A3" s="76">
        <v>46262</v>
      </c>
      <c r="B3" s="77" t="s">
        <v>587</v>
      </c>
      <c r="C3" s="12" t="s">
        <v>588</v>
      </c>
    </row>
    <row r="4" spans="1:3" ht="40.5" customHeight="1">
      <c r="A4" s="76">
        <v>46269</v>
      </c>
      <c r="B4" s="77" t="s">
        <v>589</v>
      </c>
      <c r="C4" s="12" t="s">
        <v>590</v>
      </c>
    </row>
    <row r="5" spans="1:3" ht="28.5" customHeight="1">
      <c r="A5" s="76">
        <v>46276</v>
      </c>
      <c r="B5" s="77" t="s">
        <v>253</v>
      </c>
      <c r="C5" s="12" t="s">
        <v>591</v>
      </c>
    </row>
    <row r="6" spans="1:3" ht="28.5" customHeight="1">
      <c r="A6" s="76">
        <v>46276</v>
      </c>
      <c r="B6" s="77" t="s">
        <v>592</v>
      </c>
      <c r="C6" s="12" t="s">
        <v>593</v>
      </c>
    </row>
    <row r="7" spans="1:3" ht="40.5" customHeight="1">
      <c r="A7" s="76">
        <v>46297</v>
      </c>
      <c r="B7" s="77" t="s">
        <v>594</v>
      </c>
      <c r="C7" s="12" t="s">
        <v>595</v>
      </c>
    </row>
    <row r="8" spans="1:3" ht="40.5" customHeight="1">
      <c r="A8" s="76">
        <v>46301</v>
      </c>
      <c r="B8" s="77" t="s">
        <v>596</v>
      </c>
      <c r="C8" s="12" t="s">
        <v>597</v>
      </c>
    </row>
    <row r="9" spans="1:3" ht="28.5" customHeight="1">
      <c r="A9" s="76">
        <v>46311</v>
      </c>
      <c r="B9" s="77" t="s">
        <v>598</v>
      </c>
      <c r="C9" s="12" t="s">
        <v>599</v>
      </c>
    </row>
    <row r="10" spans="1:3" ht="40.5" customHeight="1">
      <c r="A10" s="76">
        <v>46323</v>
      </c>
      <c r="B10" s="77" t="s">
        <v>284</v>
      </c>
      <c r="C10" s="12" t="s">
        <v>600</v>
      </c>
    </row>
    <row r="11" spans="1:3" ht="40.5" customHeight="1">
      <c r="A11" s="76">
        <v>46323</v>
      </c>
      <c r="B11" s="77" t="s">
        <v>601</v>
      </c>
      <c r="C11" s="12" t="s">
        <v>602</v>
      </c>
    </row>
    <row r="12" spans="1:3" ht="28.5" customHeight="1">
      <c r="A12" s="76">
        <v>46325</v>
      </c>
      <c r="B12" s="77" t="s">
        <v>603</v>
      </c>
      <c r="C12" s="12" t="s">
        <v>604</v>
      </c>
    </row>
    <row r="13" spans="1:3" ht="40.5" customHeight="1">
      <c r="A13" s="76">
        <v>46335</v>
      </c>
      <c r="B13" s="77" t="s">
        <v>605</v>
      </c>
      <c r="C13" s="12" t="s">
        <v>606</v>
      </c>
    </row>
    <row r="14" spans="1:3" ht="54" customHeight="1">
      <c r="A14" s="78">
        <v>46346</v>
      </c>
      <c r="B14" s="77" t="s">
        <v>607</v>
      </c>
      <c r="C14" s="12" t="s">
        <v>608</v>
      </c>
    </row>
    <row r="15" spans="1:3" ht="40.5" customHeight="1">
      <c r="A15" s="76">
        <v>46339</v>
      </c>
      <c r="B15" s="77" t="s">
        <v>609</v>
      </c>
      <c r="C15" s="12" t="s">
        <v>610</v>
      </c>
    </row>
    <row r="16" spans="1:3" ht="28.5" customHeight="1">
      <c r="A16" s="76">
        <v>46356</v>
      </c>
      <c r="B16" s="77" t="s">
        <v>611</v>
      </c>
      <c r="C16" s="12" t="s">
        <v>612</v>
      </c>
    </row>
    <row r="17" spans="1:3" ht="40.5" customHeight="1">
      <c r="A17" s="76">
        <v>46357</v>
      </c>
      <c r="B17" s="77" t="s">
        <v>613</v>
      </c>
      <c r="C17" s="12" t="s">
        <v>614</v>
      </c>
    </row>
    <row r="18" spans="1:3" ht="28.5" customHeight="1">
      <c r="A18" s="76">
        <v>46377</v>
      </c>
      <c r="B18" s="77" t="s">
        <v>615</v>
      </c>
      <c r="C18" s="12" t="s">
        <v>616</v>
      </c>
    </row>
    <row r="19" spans="1:3" ht="28.5" customHeight="1">
      <c r="A19" s="76">
        <v>46436</v>
      </c>
      <c r="B19" s="77" t="s">
        <v>617</v>
      </c>
      <c r="C19" s="12" t="s">
        <v>618</v>
      </c>
    </row>
    <row r="20" spans="1:3" ht="28.5" customHeight="1">
      <c r="A20" s="76">
        <v>46447</v>
      </c>
      <c r="B20" s="77" t="s">
        <v>619</v>
      </c>
      <c r="C20" s="12" t="s">
        <v>620</v>
      </c>
    </row>
    <row r="21" spans="1:3" ht="15.75" customHeight="1"/>
    <row r="22" spans="1:3" ht="15.75" customHeight="1">
      <c r="A22" s="99" t="s">
        <v>621</v>
      </c>
      <c r="B22" s="99"/>
      <c r="C22" s="99"/>
    </row>
    <row r="23" spans="1:3" ht="295.5" customHeight="1">
      <c r="A23" s="79" t="s">
        <v>622</v>
      </c>
    </row>
  </sheetData>
  <mergeCells count="1">
    <mergeCell ref="A22:C22"/>
  </mergeCells>
  <printOptions horizontalCentered="1"/>
  <pageMargins left="0.5" right="0.5" top="1" bottom="1"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13D7A"/>
    <pageSetUpPr fitToPage="1"/>
  </sheetPr>
  <dimension ref="A1:E38"/>
  <sheetViews>
    <sheetView showGridLines="0" zoomScaleNormal="100" workbookViewId="0">
      <pane ySplit="2" topLeftCell="A3" activePane="bottomLeft" state="frozen"/>
      <selection pane="bottomLeft" activeCell="C24" sqref="C24"/>
    </sheetView>
  </sheetViews>
  <sheetFormatPr defaultColWidth="8.5703125" defaultRowHeight="14.25"/>
  <cols>
    <col min="1" max="1" width="6" style="1" customWidth="1"/>
    <col min="2" max="2" width="34" style="1" customWidth="1"/>
    <col min="3" max="3" width="58.85546875" style="1" customWidth="1"/>
    <col min="4" max="4" width="16" style="1" customWidth="1"/>
    <col min="5" max="5" width="50" style="1" customWidth="1"/>
  </cols>
  <sheetData>
    <row r="1" spans="1:5" ht="15.75" customHeight="1">
      <c r="A1" s="100" t="s">
        <v>623</v>
      </c>
      <c r="B1" s="100"/>
      <c r="C1" s="100"/>
      <c r="D1" s="100"/>
      <c r="E1" s="100"/>
    </row>
    <row r="2" spans="1:5" ht="15.75" customHeight="1">
      <c r="A2" s="3" t="s">
        <v>624</v>
      </c>
      <c r="B2" s="3" t="s">
        <v>625</v>
      </c>
      <c r="C2" s="3" t="s">
        <v>626</v>
      </c>
      <c r="D2" s="3" t="s">
        <v>627</v>
      </c>
      <c r="E2" s="3" t="s">
        <v>628</v>
      </c>
    </row>
    <row r="3" spans="1:5" ht="79.5" customHeight="1">
      <c r="A3" s="80" t="s">
        <v>629</v>
      </c>
      <c r="B3" s="12" t="s">
        <v>630</v>
      </c>
      <c r="C3" s="12" t="s">
        <v>631</v>
      </c>
      <c r="D3" s="81" t="s">
        <v>632</v>
      </c>
      <c r="E3" s="81" t="s">
        <v>633</v>
      </c>
    </row>
    <row r="4" spans="1:5" ht="117.75" customHeight="1">
      <c r="A4" s="80" t="s">
        <v>634</v>
      </c>
      <c r="B4" s="12" t="s">
        <v>635</v>
      </c>
      <c r="C4" s="12" t="s">
        <v>636</v>
      </c>
      <c r="D4" s="81" t="s">
        <v>632</v>
      </c>
      <c r="E4" s="81" t="s">
        <v>632</v>
      </c>
    </row>
    <row r="5" spans="1:5" ht="117.75" customHeight="1">
      <c r="A5" s="80" t="s">
        <v>637</v>
      </c>
      <c r="B5" s="12" t="s">
        <v>638</v>
      </c>
      <c r="C5" s="12" t="s">
        <v>639</v>
      </c>
      <c r="D5" s="81" t="s">
        <v>632</v>
      </c>
      <c r="E5" s="81" t="s">
        <v>633</v>
      </c>
    </row>
    <row r="6" spans="1:5" ht="105" customHeight="1">
      <c r="A6" s="80" t="s">
        <v>640</v>
      </c>
      <c r="B6" s="12" t="s">
        <v>641</v>
      </c>
      <c r="C6" s="12" t="s">
        <v>642</v>
      </c>
      <c r="D6" s="81" t="s">
        <v>643</v>
      </c>
      <c r="E6" s="81" t="s">
        <v>633</v>
      </c>
    </row>
    <row r="7" spans="1:5" ht="54" customHeight="1">
      <c r="A7" s="80" t="s">
        <v>644</v>
      </c>
      <c r="B7" s="12" t="s">
        <v>645</v>
      </c>
      <c r="C7" s="12" t="s">
        <v>646</v>
      </c>
      <c r="D7" s="81" t="s">
        <v>632</v>
      </c>
      <c r="E7" s="81" t="s">
        <v>632</v>
      </c>
    </row>
    <row r="8" spans="1:5" ht="54" customHeight="1">
      <c r="A8" s="80" t="s">
        <v>647</v>
      </c>
      <c r="B8" s="12" t="s">
        <v>648</v>
      </c>
      <c r="C8" s="12" t="s">
        <v>649</v>
      </c>
      <c r="D8" s="81" t="s">
        <v>633</v>
      </c>
      <c r="E8" s="81" t="s">
        <v>632</v>
      </c>
    </row>
    <row r="9" spans="1:5" ht="193.5" customHeight="1">
      <c r="A9" s="80" t="s">
        <v>650</v>
      </c>
      <c r="B9" s="12" t="s">
        <v>651</v>
      </c>
      <c r="C9" s="12" t="s">
        <v>652</v>
      </c>
      <c r="D9" s="81" t="s">
        <v>643</v>
      </c>
      <c r="E9" s="81" t="s">
        <v>643</v>
      </c>
    </row>
    <row r="10" spans="1:5" ht="91.5" customHeight="1">
      <c r="A10" s="80" t="s">
        <v>653</v>
      </c>
      <c r="B10" s="12" t="s">
        <v>654</v>
      </c>
      <c r="C10" s="12" t="s">
        <v>655</v>
      </c>
      <c r="D10" s="81" t="s">
        <v>632</v>
      </c>
      <c r="E10" s="81" t="s">
        <v>633</v>
      </c>
    </row>
    <row r="11" spans="1:5" ht="54" customHeight="1">
      <c r="A11" s="80" t="s">
        <v>656</v>
      </c>
      <c r="B11" s="12" t="s">
        <v>657</v>
      </c>
      <c r="C11" s="12" t="s">
        <v>658</v>
      </c>
      <c r="D11" s="81" t="s">
        <v>632</v>
      </c>
      <c r="E11" s="81" t="s">
        <v>632</v>
      </c>
    </row>
    <row r="12" spans="1:5" ht="54" customHeight="1">
      <c r="A12" s="80" t="s">
        <v>659</v>
      </c>
      <c r="B12" s="12" t="s">
        <v>660</v>
      </c>
      <c r="C12" s="12" t="s">
        <v>661</v>
      </c>
      <c r="D12" s="81" t="s">
        <v>632</v>
      </c>
      <c r="E12" s="81" t="s">
        <v>633</v>
      </c>
    </row>
    <row r="13" spans="1:5" ht="40.5" customHeight="1">
      <c r="A13" s="80" t="s">
        <v>662</v>
      </c>
      <c r="B13" s="12" t="s">
        <v>663</v>
      </c>
      <c r="C13" s="12" t="s">
        <v>664</v>
      </c>
      <c r="D13" s="81" t="s">
        <v>632</v>
      </c>
      <c r="E13" s="81" t="s">
        <v>632</v>
      </c>
    </row>
    <row r="14" spans="1:5" ht="40.5" customHeight="1">
      <c r="A14" s="80" t="s">
        <v>665</v>
      </c>
      <c r="B14" s="12" t="s">
        <v>666</v>
      </c>
      <c r="C14" s="12" t="s">
        <v>667</v>
      </c>
      <c r="D14" s="81" t="s">
        <v>633</v>
      </c>
      <c r="E14" s="81" t="s">
        <v>632</v>
      </c>
    </row>
    <row r="15" spans="1:5" ht="40.5" customHeight="1">
      <c r="A15" s="80" t="s">
        <v>668</v>
      </c>
      <c r="B15" s="12" t="s">
        <v>669</v>
      </c>
      <c r="C15" s="12" t="s">
        <v>670</v>
      </c>
      <c r="D15" s="81" t="s">
        <v>632</v>
      </c>
      <c r="E15" s="81" t="s">
        <v>633</v>
      </c>
    </row>
    <row r="16" spans="1:5" ht="79.5" customHeight="1">
      <c r="A16" s="80" t="s">
        <v>671</v>
      </c>
      <c r="B16" s="12" t="s">
        <v>672</v>
      </c>
      <c r="C16" s="12" t="s">
        <v>673</v>
      </c>
      <c r="D16" s="81" t="s">
        <v>632</v>
      </c>
      <c r="E16" s="81" t="s">
        <v>633</v>
      </c>
    </row>
    <row r="17" spans="1:5" ht="54" customHeight="1">
      <c r="A17" s="80" t="s">
        <v>674</v>
      </c>
      <c r="B17" s="12" t="s">
        <v>675</v>
      </c>
      <c r="C17" s="12" t="s">
        <v>676</v>
      </c>
      <c r="D17" s="81" t="s">
        <v>643</v>
      </c>
      <c r="E17" s="81" t="s">
        <v>643</v>
      </c>
    </row>
    <row r="18" spans="1:5" ht="15.75" customHeight="1">
      <c r="A18" s="82"/>
    </row>
    <row r="19" spans="1:5" ht="15.75" customHeight="1">
      <c r="A19" s="83" t="s">
        <v>677</v>
      </c>
    </row>
    <row r="20" spans="1:5" ht="28.5" customHeight="1">
      <c r="A20" s="3" t="s">
        <v>624</v>
      </c>
      <c r="B20" s="3" t="s">
        <v>402</v>
      </c>
      <c r="C20" s="3" t="s">
        <v>119</v>
      </c>
      <c r="D20" s="3" t="s">
        <v>678</v>
      </c>
      <c r="E20" s="3" t="s">
        <v>45</v>
      </c>
    </row>
    <row r="21" spans="1:5" ht="54" customHeight="1">
      <c r="A21" s="80" t="s">
        <v>679</v>
      </c>
      <c r="B21" s="12" t="s">
        <v>680</v>
      </c>
      <c r="C21" s="84" t="s">
        <v>681</v>
      </c>
      <c r="D21" s="85">
        <v>46262</v>
      </c>
      <c r="E21" s="12" t="s">
        <v>682</v>
      </c>
    </row>
    <row r="22" spans="1:5" ht="142.5" customHeight="1">
      <c r="A22" s="80" t="s">
        <v>683</v>
      </c>
      <c r="B22" s="12" t="s">
        <v>684</v>
      </c>
      <c r="C22" s="84" t="s">
        <v>685</v>
      </c>
      <c r="D22" s="85">
        <v>46262</v>
      </c>
      <c r="E22" s="12" t="s">
        <v>686</v>
      </c>
    </row>
    <row r="23" spans="1:5" ht="54" customHeight="1">
      <c r="A23" s="80" t="s">
        <v>687</v>
      </c>
      <c r="B23" s="12" t="s">
        <v>688</v>
      </c>
      <c r="C23" s="84" t="s">
        <v>681</v>
      </c>
      <c r="D23" s="85">
        <v>46262</v>
      </c>
      <c r="E23" s="12" t="s">
        <v>689</v>
      </c>
    </row>
    <row r="24" spans="1:5" ht="130.5" customHeight="1">
      <c r="A24" s="80" t="s">
        <v>690</v>
      </c>
      <c r="B24" s="12" t="s">
        <v>691</v>
      </c>
      <c r="C24" s="86" t="s">
        <v>6</v>
      </c>
      <c r="D24" s="85">
        <v>46295</v>
      </c>
      <c r="E24" s="12" t="s">
        <v>692</v>
      </c>
    </row>
    <row r="25" spans="1:5" ht="156" customHeight="1">
      <c r="A25" s="80" t="s">
        <v>693</v>
      </c>
      <c r="B25" s="12" t="s">
        <v>694</v>
      </c>
      <c r="C25" s="87" t="s">
        <v>695</v>
      </c>
      <c r="D25" s="85">
        <v>46280</v>
      </c>
      <c r="E25" s="12" t="s">
        <v>696</v>
      </c>
    </row>
    <row r="26" spans="1:5" ht="79.5" customHeight="1">
      <c r="A26" s="80" t="s">
        <v>697</v>
      </c>
      <c r="B26" s="12" t="s">
        <v>698</v>
      </c>
      <c r="C26" s="84" t="s">
        <v>681</v>
      </c>
      <c r="D26" s="85">
        <v>46258</v>
      </c>
      <c r="E26" s="12" t="s">
        <v>699</v>
      </c>
    </row>
    <row r="27" spans="1:5" ht="54" customHeight="1">
      <c r="A27" s="80" t="s">
        <v>700</v>
      </c>
      <c r="B27" s="12" t="s">
        <v>701</v>
      </c>
      <c r="C27" s="84" t="s">
        <v>681</v>
      </c>
      <c r="D27" s="85">
        <v>46276</v>
      </c>
      <c r="E27" s="12" t="s">
        <v>702</v>
      </c>
    </row>
    <row r="28" spans="1:5" ht="117.75" customHeight="1">
      <c r="A28" s="80" t="s">
        <v>703</v>
      </c>
      <c r="B28" s="12" t="s">
        <v>704</v>
      </c>
      <c r="C28" s="84" t="s">
        <v>705</v>
      </c>
      <c r="D28" s="85">
        <v>46275</v>
      </c>
      <c r="E28" s="12" t="s">
        <v>706</v>
      </c>
    </row>
    <row r="29" spans="1:5" ht="168.75" customHeight="1">
      <c r="A29" s="80" t="s">
        <v>707</v>
      </c>
      <c r="B29" s="12" t="s">
        <v>708</v>
      </c>
      <c r="C29" s="84" t="s">
        <v>685</v>
      </c>
      <c r="D29" s="85">
        <v>46276</v>
      </c>
      <c r="E29" s="12" t="s">
        <v>709</v>
      </c>
    </row>
    <row r="30" spans="1:5" ht="79.5" customHeight="1">
      <c r="A30" s="80" t="s">
        <v>710</v>
      </c>
      <c r="B30" s="12" t="s">
        <v>711</v>
      </c>
      <c r="C30" s="84" t="s">
        <v>712</v>
      </c>
      <c r="D30" s="85" t="s">
        <v>713</v>
      </c>
      <c r="E30" s="12" t="s">
        <v>714</v>
      </c>
    </row>
    <row r="31" spans="1:5" ht="105" customHeight="1">
      <c r="A31" s="80" t="s">
        <v>715</v>
      </c>
      <c r="B31" s="12" t="s">
        <v>716</v>
      </c>
      <c r="C31" s="84" t="s">
        <v>685</v>
      </c>
      <c r="D31" s="85">
        <v>46269</v>
      </c>
      <c r="E31" s="12" t="s">
        <v>717</v>
      </c>
    </row>
    <row r="32" spans="1:5" ht="79.5" customHeight="1">
      <c r="A32" s="80" t="s">
        <v>718</v>
      </c>
      <c r="B32" s="12" t="s">
        <v>719</v>
      </c>
      <c r="C32" s="88" t="s">
        <v>720</v>
      </c>
      <c r="D32" s="85">
        <v>46269</v>
      </c>
      <c r="E32" s="12" t="s">
        <v>721</v>
      </c>
    </row>
    <row r="33" spans="1:5" ht="117.75" customHeight="1">
      <c r="A33" s="80" t="s">
        <v>722</v>
      </c>
      <c r="B33" s="12" t="s">
        <v>723</v>
      </c>
      <c r="C33" s="87" t="s">
        <v>695</v>
      </c>
      <c r="D33" s="85">
        <v>46280</v>
      </c>
      <c r="E33" s="12" t="s">
        <v>724</v>
      </c>
    </row>
    <row r="34" spans="1:5" ht="168.75" customHeight="1">
      <c r="A34" s="80" t="s">
        <v>725</v>
      </c>
      <c r="B34" s="12" t="s">
        <v>726</v>
      </c>
      <c r="C34" s="89" t="s">
        <v>727</v>
      </c>
      <c r="D34" s="85">
        <v>46290</v>
      </c>
      <c r="E34" s="12" t="s">
        <v>728</v>
      </c>
    </row>
    <row r="35" spans="1:5" ht="156" customHeight="1">
      <c r="A35" s="80" t="s">
        <v>729</v>
      </c>
      <c r="B35" s="12" t="s">
        <v>730</v>
      </c>
      <c r="C35" s="89" t="s">
        <v>727</v>
      </c>
      <c r="D35" s="85">
        <v>46290</v>
      </c>
      <c r="E35" s="12" t="s">
        <v>731</v>
      </c>
    </row>
    <row r="36" spans="1:5" ht="79.5" customHeight="1">
      <c r="A36" s="80" t="s">
        <v>732</v>
      </c>
      <c r="B36" s="12" t="s">
        <v>733</v>
      </c>
      <c r="C36" s="88" t="s">
        <v>734</v>
      </c>
      <c r="D36" s="85">
        <v>46304</v>
      </c>
      <c r="E36" s="12" t="s">
        <v>735</v>
      </c>
    </row>
    <row r="37" spans="1:5" ht="193.5" customHeight="1">
      <c r="A37" s="80" t="s">
        <v>736</v>
      </c>
      <c r="B37" s="12" t="s">
        <v>737</v>
      </c>
      <c r="C37" s="87" t="s">
        <v>695</v>
      </c>
      <c r="D37" s="85">
        <v>46280</v>
      </c>
      <c r="E37" s="12" t="s">
        <v>738</v>
      </c>
    </row>
    <row r="38" spans="1:5" ht="15.75" customHeight="1">
      <c r="C38" s="90"/>
    </row>
  </sheetData>
  <mergeCells count="1">
    <mergeCell ref="A1:E1"/>
  </mergeCells>
  <conditionalFormatting sqref="D3:D17">
    <cfRule type="cellIs" dxfId="5" priority="2" operator="equal">
      <formula>"High"</formula>
    </cfRule>
    <cfRule type="cellIs" dxfId="4" priority="3" operator="equal">
      <formula>"Medium"</formula>
    </cfRule>
    <cfRule type="cellIs" dxfId="3" priority="4" operator="equal">
      <formula>"Low"</formula>
    </cfRule>
  </conditionalFormatting>
  <conditionalFormatting sqref="E3:E17">
    <cfRule type="cellIs" dxfId="2" priority="5" operator="equal">
      <formula>"High"</formula>
    </cfRule>
    <cfRule type="cellIs" dxfId="1" priority="6" operator="equal">
      <formula>"Medium"</formula>
    </cfRule>
    <cfRule type="cellIs" dxfId="0" priority="7" operator="equal">
      <formula>"Low"</formula>
    </cfRule>
  </conditionalFormatting>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13D7A"/>
    <pageSetUpPr fitToPage="1"/>
  </sheetPr>
  <dimension ref="A1:E10"/>
  <sheetViews>
    <sheetView showGridLines="0" zoomScaleNormal="100" workbookViewId="0">
      <pane ySplit="1" topLeftCell="A2" activePane="bottomLeft" state="frozen"/>
      <selection pane="bottomLeft"/>
    </sheetView>
  </sheetViews>
  <sheetFormatPr defaultColWidth="8.5703125" defaultRowHeight="14.25"/>
  <cols>
    <col min="1" max="1" width="30" style="1" customWidth="1"/>
    <col min="2" max="2" width="24" style="1" customWidth="1"/>
    <col min="3" max="3" width="34" style="1" customWidth="1"/>
    <col min="4" max="4" width="45" style="1" customWidth="1"/>
    <col min="5" max="5" width="22" style="1" customWidth="1"/>
  </cols>
  <sheetData>
    <row r="1" spans="1:5" ht="15.75" customHeight="1">
      <c r="A1" s="3" t="s">
        <v>739</v>
      </c>
      <c r="B1" s="3" t="s">
        <v>740</v>
      </c>
      <c r="C1" s="3" t="s">
        <v>741</v>
      </c>
      <c r="D1" s="3" t="s">
        <v>742</v>
      </c>
      <c r="E1" s="3" t="s">
        <v>743</v>
      </c>
    </row>
    <row r="2" spans="1:5" ht="40.5" customHeight="1">
      <c r="A2" s="12" t="s">
        <v>744</v>
      </c>
      <c r="B2" s="12" t="s">
        <v>745</v>
      </c>
      <c r="C2" s="12" t="s">
        <v>746</v>
      </c>
      <c r="D2" s="12" t="s">
        <v>747</v>
      </c>
      <c r="E2" s="12" t="s">
        <v>748</v>
      </c>
    </row>
    <row r="3" spans="1:5" ht="40.5" customHeight="1">
      <c r="A3" s="12" t="s">
        <v>749</v>
      </c>
      <c r="B3" s="12" t="s">
        <v>750</v>
      </c>
      <c r="C3" s="12" t="s">
        <v>751</v>
      </c>
      <c r="D3" s="12" t="s">
        <v>752</v>
      </c>
      <c r="E3" s="12" t="s">
        <v>753</v>
      </c>
    </row>
    <row r="4" spans="1:5" ht="28.5" customHeight="1">
      <c r="A4" s="12" t="s">
        <v>754</v>
      </c>
      <c r="B4" s="12" t="s">
        <v>755</v>
      </c>
      <c r="C4" s="12" t="s">
        <v>756</v>
      </c>
      <c r="D4" s="12" t="s">
        <v>757</v>
      </c>
      <c r="E4" s="12" t="s">
        <v>758</v>
      </c>
    </row>
    <row r="5" spans="1:5" ht="40.5" customHeight="1">
      <c r="A5" s="12" t="s">
        <v>759</v>
      </c>
      <c r="B5" s="12" t="s">
        <v>760</v>
      </c>
      <c r="C5" s="12" t="s">
        <v>761</v>
      </c>
      <c r="D5" s="12" t="s">
        <v>762</v>
      </c>
      <c r="E5" s="12" t="s">
        <v>753</v>
      </c>
    </row>
    <row r="6" spans="1:5" ht="40.5" customHeight="1">
      <c r="A6" s="12" t="s">
        <v>763</v>
      </c>
      <c r="B6" s="12" t="s">
        <v>764</v>
      </c>
      <c r="C6" s="12" t="s">
        <v>765</v>
      </c>
      <c r="D6" s="12" t="s">
        <v>766</v>
      </c>
      <c r="E6" s="12" t="s">
        <v>758</v>
      </c>
    </row>
    <row r="7" spans="1:5" ht="40.5" customHeight="1">
      <c r="A7" s="12" t="s">
        <v>767</v>
      </c>
      <c r="B7" s="12" t="s">
        <v>768</v>
      </c>
      <c r="C7" s="12" t="s">
        <v>769</v>
      </c>
      <c r="D7" s="12" t="s">
        <v>770</v>
      </c>
      <c r="E7" s="12" t="s">
        <v>771</v>
      </c>
    </row>
    <row r="8" spans="1:5" ht="40.5" customHeight="1">
      <c r="A8" s="12" t="s">
        <v>772</v>
      </c>
      <c r="B8" s="12" t="s">
        <v>773</v>
      </c>
      <c r="C8" s="12" t="s">
        <v>774</v>
      </c>
      <c r="D8" s="12" t="s">
        <v>775</v>
      </c>
      <c r="E8" s="12" t="s">
        <v>753</v>
      </c>
    </row>
    <row r="9" spans="1:5" ht="15.75" customHeight="1"/>
    <row r="10" spans="1:5" ht="15.75" customHeight="1">
      <c r="A10" s="101" t="s">
        <v>776</v>
      </c>
      <c r="B10" s="101"/>
      <c r="C10" s="101"/>
      <c r="D10" s="101"/>
      <c r="E10" s="101"/>
    </row>
  </sheetData>
  <mergeCells count="1">
    <mergeCell ref="A10:E10"/>
  </mergeCells>
  <printOptions horizontalCentered="1"/>
  <pageMargins left="0.25" right="0.25" top="0.75" bottom="0.75" header="0.51180555555555596" footer="0.51180555555555596"/>
  <pageSetup paperSize="9" fitToHeight="0" orientation="landscape" horizontalDpi="300" verticalDpi="300"/>
  <headerFooter>
    <oddHeader>&amp;L&amp;"Calibri,Bold"&amp;8 &amp;K213d7aAI Program Change Management Project Plan&amp;R&amp;8 &amp;K213d7a&amp;A</oddHeader>
    <oddFooter>&amp;L&amp;8 City of Cleveland | AI Center of Excellence&amp;R&amp;8 Page &amp;P of &amp;N</oddFooter>
  </headerFooter>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13D7A"/>
    <pageSetUpPr fitToPage="1"/>
  </sheetPr>
  <dimension ref="A1:F53"/>
  <sheetViews>
    <sheetView showGridLines="0" zoomScaleNormal="100" workbookViewId="0">
      <pane ySplit="1" topLeftCell="A2" activePane="bottomLeft" state="frozen"/>
      <selection pane="bottomLeft" activeCell="A2" sqref="A2"/>
    </sheetView>
  </sheetViews>
  <sheetFormatPr defaultColWidth="8.5703125" defaultRowHeight="14.25"/>
  <cols>
    <col min="1" max="1" width="8" style="1" customWidth="1"/>
    <col min="2" max="2" width="26" style="1" customWidth="1"/>
    <col min="3" max="3" width="52" style="1" customWidth="1"/>
    <col min="4" max="5" width="28" style="1" customWidth="1"/>
    <col min="6" max="6" width="34" style="1" customWidth="1"/>
  </cols>
  <sheetData>
    <row r="1" spans="1:6" ht="15.75" customHeight="1">
      <c r="A1" s="3" t="s">
        <v>113</v>
      </c>
      <c r="B1" s="3" t="s">
        <v>583</v>
      </c>
      <c r="C1" s="3" t="s">
        <v>777</v>
      </c>
      <c r="D1" s="3" t="s">
        <v>778</v>
      </c>
      <c r="E1" s="3" t="s">
        <v>779</v>
      </c>
      <c r="F1" s="3" t="s">
        <v>117</v>
      </c>
    </row>
    <row r="2" spans="1:6" ht="28.5" customHeight="1">
      <c r="A2" s="91" t="s">
        <v>780</v>
      </c>
      <c r="B2" s="92" t="s">
        <v>781</v>
      </c>
      <c r="C2" s="92" t="s">
        <v>782</v>
      </c>
      <c r="D2" s="92" t="s">
        <v>783</v>
      </c>
      <c r="E2" s="92" t="s">
        <v>784</v>
      </c>
      <c r="F2" s="92" t="s">
        <v>104</v>
      </c>
    </row>
    <row r="3" spans="1:6" ht="40.5" customHeight="1">
      <c r="A3" s="93" t="s">
        <v>785</v>
      </c>
      <c r="B3" s="94" t="s">
        <v>786</v>
      </c>
      <c r="C3" s="94" t="s">
        <v>787</v>
      </c>
      <c r="D3" s="94" t="s">
        <v>788</v>
      </c>
      <c r="E3" s="94" t="s">
        <v>789</v>
      </c>
      <c r="F3" s="94" t="s">
        <v>104</v>
      </c>
    </row>
    <row r="4" spans="1:6" ht="40.5" customHeight="1">
      <c r="A4" s="91" t="s">
        <v>790</v>
      </c>
      <c r="B4" s="92" t="s">
        <v>791</v>
      </c>
      <c r="C4" s="92" t="s">
        <v>792</v>
      </c>
      <c r="D4" s="92" t="s">
        <v>793</v>
      </c>
      <c r="E4" s="92" t="s">
        <v>794</v>
      </c>
      <c r="F4" s="92" t="s">
        <v>104</v>
      </c>
    </row>
    <row r="5" spans="1:6" ht="28.5" customHeight="1">
      <c r="A5" s="93" t="s">
        <v>795</v>
      </c>
      <c r="B5" s="94" t="s">
        <v>796</v>
      </c>
      <c r="C5" s="94" t="s">
        <v>797</v>
      </c>
      <c r="D5" s="94" t="s">
        <v>798</v>
      </c>
      <c r="E5" s="94" t="s">
        <v>799</v>
      </c>
      <c r="F5" s="94" t="s">
        <v>104</v>
      </c>
    </row>
    <row r="6" spans="1:6" ht="15.75" customHeight="1">
      <c r="A6" s="91" t="s">
        <v>800</v>
      </c>
      <c r="B6" s="92" t="s">
        <v>796</v>
      </c>
      <c r="C6" s="92" t="s">
        <v>801</v>
      </c>
      <c r="D6" s="92" t="s">
        <v>802</v>
      </c>
      <c r="E6" s="92" t="s">
        <v>799</v>
      </c>
      <c r="F6" s="92" t="s">
        <v>104</v>
      </c>
    </row>
    <row r="7" spans="1:6" ht="28.5" customHeight="1">
      <c r="A7" s="93" t="s">
        <v>803</v>
      </c>
      <c r="B7" s="94" t="s">
        <v>804</v>
      </c>
      <c r="C7" s="94" t="s">
        <v>805</v>
      </c>
      <c r="D7" s="94" t="s">
        <v>806</v>
      </c>
      <c r="E7" s="94" t="s">
        <v>807</v>
      </c>
      <c r="F7" s="94" t="s">
        <v>63</v>
      </c>
    </row>
    <row r="8" spans="1:6" ht="28.5" customHeight="1">
      <c r="A8" s="91" t="s">
        <v>808</v>
      </c>
      <c r="B8" s="92" t="s">
        <v>809</v>
      </c>
      <c r="C8" s="92" t="s">
        <v>810</v>
      </c>
      <c r="D8" s="92" t="s">
        <v>811</v>
      </c>
      <c r="E8" s="92" t="s">
        <v>812</v>
      </c>
      <c r="F8" s="92" t="s">
        <v>813</v>
      </c>
    </row>
    <row r="9" spans="1:6" ht="15.75" customHeight="1">
      <c r="A9" s="93" t="s">
        <v>814</v>
      </c>
      <c r="B9" s="94" t="s">
        <v>815</v>
      </c>
      <c r="C9" s="94" t="s">
        <v>816</v>
      </c>
      <c r="D9" s="94" t="s">
        <v>817</v>
      </c>
      <c r="E9" s="94" t="s">
        <v>799</v>
      </c>
      <c r="F9" s="94" t="s">
        <v>63</v>
      </c>
    </row>
    <row r="10" spans="1:6" ht="15.75" customHeight="1">
      <c r="A10" s="91" t="s">
        <v>818</v>
      </c>
      <c r="B10" s="92" t="s">
        <v>819</v>
      </c>
      <c r="C10" s="92" t="s">
        <v>820</v>
      </c>
      <c r="D10" s="92" t="s">
        <v>821</v>
      </c>
      <c r="E10" s="92" t="s">
        <v>799</v>
      </c>
      <c r="F10" s="92" t="s">
        <v>63</v>
      </c>
    </row>
    <row r="11" spans="1:6" ht="15.75" customHeight="1">
      <c r="A11" s="93" t="s">
        <v>822</v>
      </c>
      <c r="B11" s="94" t="s">
        <v>823</v>
      </c>
      <c r="C11" s="94" t="s">
        <v>824</v>
      </c>
      <c r="D11" s="94" t="s">
        <v>825</v>
      </c>
      <c r="E11" s="94" t="s">
        <v>799</v>
      </c>
      <c r="F11" s="94" t="s">
        <v>63</v>
      </c>
    </row>
    <row r="12" spans="1:6" ht="28.5" customHeight="1">
      <c r="A12" s="91" t="s">
        <v>826</v>
      </c>
      <c r="B12" s="92" t="s">
        <v>827</v>
      </c>
      <c r="C12" s="92" t="s">
        <v>828</v>
      </c>
      <c r="D12" s="92" t="s">
        <v>829</v>
      </c>
      <c r="E12" s="92" t="s">
        <v>799</v>
      </c>
      <c r="F12" s="92" t="s">
        <v>63</v>
      </c>
    </row>
    <row r="13" spans="1:6" ht="28.5" customHeight="1">
      <c r="A13" s="93" t="s">
        <v>830</v>
      </c>
      <c r="B13" s="94" t="s">
        <v>831</v>
      </c>
      <c r="C13" s="94" t="s">
        <v>832</v>
      </c>
      <c r="D13" s="94" t="s">
        <v>833</v>
      </c>
      <c r="E13" s="94" t="s">
        <v>799</v>
      </c>
      <c r="F13" s="94" t="s">
        <v>63</v>
      </c>
    </row>
    <row r="14" spans="1:6" ht="28.5" customHeight="1">
      <c r="A14" s="91" t="s">
        <v>834</v>
      </c>
      <c r="B14" s="92" t="s">
        <v>835</v>
      </c>
      <c r="C14" s="92" t="s">
        <v>836</v>
      </c>
      <c r="D14" s="92" t="s">
        <v>837</v>
      </c>
      <c r="E14" s="92" t="s">
        <v>799</v>
      </c>
      <c r="F14" s="92" t="s">
        <v>104</v>
      </c>
    </row>
    <row r="15" spans="1:6" ht="28.5" customHeight="1">
      <c r="A15" s="93" t="s">
        <v>838</v>
      </c>
      <c r="B15" s="94" t="s">
        <v>835</v>
      </c>
      <c r="C15" s="94" t="s">
        <v>839</v>
      </c>
      <c r="D15" s="94" t="s">
        <v>840</v>
      </c>
      <c r="E15" s="94" t="s">
        <v>799</v>
      </c>
      <c r="F15" s="94" t="s">
        <v>841</v>
      </c>
    </row>
    <row r="16" spans="1:6" ht="28.5" customHeight="1">
      <c r="A16" s="91" t="s">
        <v>842</v>
      </c>
      <c r="B16" s="92" t="s">
        <v>843</v>
      </c>
      <c r="C16" s="92" t="s">
        <v>844</v>
      </c>
      <c r="D16" s="92" t="s">
        <v>840</v>
      </c>
      <c r="E16" s="92" t="s">
        <v>845</v>
      </c>
      <c r="F16" s="92" t="s">
        <v>104</v>
      </c>
    </row>
    <row r="17" spans="1:6" ht="28.5" customHeight="1">
      <c r="A17" s="93" t="s">
        <v>846</v>
      </c>
      <c r="B17" s="94" t="s">
        <v>847</v>
      </c>
      <c r="C17" s="94" t="s">
        <v>848</v>
      </c>
      <c r="D17" s="94" t="s">
        <v>849</v>
      </c>
      <c r="E17" s="94" t="s">
        <v>850</v>
      </c>
      <c r="F17" s="94" t="s">
        <v>104</v>
      </c>
    </row>
    <row r="18" spans="1:6" ht="15.75" customHeight="1">
      <c r="A18" s="91" t="s">
        <v>851</v>
      </c>
      <c r="B18" s="92" t="s">
        <v>852</v>
      </c>
      <c r="C18" s="92" t="s">
        <v>853</v>
      </c>
      <c r="D18" s="92" t="s">
        <v>849</v>
      </c>
      <c r="E18" s="92" t="s">
        <v>799</v>
      </c>
      <c r="F18" s="92" t="s">
        <v>104</v>
      </c>
    </row>
    <row r="19" spans="1:6" ht="15.75" customHeight="1">
      <c r="A19" s="93" t="s">
        <v>854</v>
      </c>
      <c r="B19" s="94" t="s">
        <v>855</v>
      </c>
      <c r="C19" s="94" t="s">
        <v>856</v>
      </c>
      <c r="D19" s="94" t="s">
        <v>849</v>
      </c>
      <c r="E19" s="94" t="s">
        <v>799</v>
      </c>
      <c r="F19" s="94" t="s">
        <v>104</v>
      </c>
    </row>
    <row r="20" spans="1:6" ht="28.5" customHeight="1">
      <c r="A20" s="91" t="s">
        <v>857</v>
      </c>
      <c r="B20" s="92" t="s">
        <v>858</v>
      </c>
      <c r="C20" s="92" t="s">
        <v>859</v>
      </c>
      <c r="D20" s="92" t="s">
        <v>860</v>
      </c>
      <c r="E20" s="92" t="s">
        <v>799</v>
      </c>
      <c r="F20" s="92" t="s">
        <v>57</v>
      </c>
    </row>
    <row r="21" spans="1:6" ht="40.5" customHeight="1">
      <c r="A21" s="93" t="s">
        <v>861</v>
      </c>
      <c r="B21" s="94" t="s">
        <v>862</v>
      </c>
      <c r="C21" s="94" t="s">
        <v>863</v>
      </c>
      <c r="D21" s="94" t="s">
        <v>864</v>
      </c>
      <c r="E21" s="94" t="s">
        <v>865</v>
      </c>
      <c r="F21" s="94" t="s">
        <v>104</v>
      </c>
    </row>
    <row r="22" spans="1:6" ht="15.75" customHeight="1">
      <c r="A22" s="91" t="s">
        <v>866</v>
      </c>
      <c r="B22" s="92" t="s">
        <v>867</v>
      </c>
      <c r="C22" s="92" t="s">
        <v>868</v>
      </c>
      <c r="D22" s="92" t="s">
        <v>869</v>
      </c>
      <c r="E22" s="92" t="s">
        <v>799</v>
      </c>
      <c r="F22" s="92" t="s">
        <v>104</v>
      </c>
    </row>
    <row r="23" spans="1:6" ht="28.5" customHeight="1">
      <c r="A23" s="93" t="s">
        <v>870</v>
      </c>
      <c r="B23" s="94" t="s">
        <v>867</v>
      </c>
      <c r="C23" s="94" t="s">
        <v>871</v>
      </c>
      <c r="D23" s="94" t="s">
        <v>872</v>
      </c>
      <c r="E23" s="94" t="s">
        <v>799</v>
      </c>
      <c r="F23" s="94" t="s">
        <v>841</v>
      </c>
    </row>
    <row r="24" spans="1:6" ht="28.5" customHeight="1">
      <c r="A24" s="91" t="s">
        <v>873</v>
      </c>
      <c r="B24" s="92" t="s">
        <v>874</v>
      </c>
      <c r="C24" s="92" t="s">
        <v>875</v>
      </c>
      <c r="D24" s="92" t="s">
        <v>872</v>
      </c>
      <c r="E24" s="92" t="s">
        <v>799</v>
      </c>
      <c r="F24" s="92" t="s">
        <v>104</v>
      </c>
    </row>
    <row r="25" spans="1:6" ht="28.5" customHeight="1">
      <c r="A25" s="93" t="s">
        <v>876</v>
      </c>
      <c r="B25" s="94" t="s">
        <v>877</v>
      </c>
      <c r="C25" s="94" t="s">
        <v>878</v>
      </c>
      <c r="D25" s="94" t="s">
        <v>879</v>
      </c>
      <c r="E25" s="94" t="s">
        <v>880</v>
      </c>
      <c r="F25" s="94" t="s">
        <v>104</v>
      </c>
    </row>
    <row r="26" spans="1:6" ht="15.75" customHeight="1">
      <c r="A26" s="91" t="s">
        <v>881</v>
      </c>
      <c r="B26" s="92" t="s">
        <v>882</v>
      </c>
      <c r="C26" s="92" t="s">
        <v>883</v>
      </c>
      <c r="D26" s="92" t="s">
        <v>879</v>
      </c>
      <c r="E26" s="92" t="s">
        <v>799</v>
      </c>
      <c r="F26" s="92" t="s">
        <v>104</v>
      </c>
    </row>
    <row r="27" spans="1:6" ht="15.75" customHeight="1">
      <c r="A27" s="93" t="s">
        <v>884</v>
      </c>
      <c r="B27" s="94" t="s">
        <v>885</v>
      </c>
      <c r="C27" s="94" t="s">
        <v>886</v>
      </c>
      <c r="D27" s="94" t="s">
        <v>879</v>
      </c>
      <c r="E27" s="94" t="s">
        <v>799</v>
      </c>
      <c r="F27" s="94" t="s">
        <v>104</v>
      </c>
    </row>
    <row r="28" spans="1:6" ht="28.5" customHeight="1">
      <c r="A28" s="91" t="s">
        <v>887</v>
      </c>
      <c r="B28" s="92" t="s">
        <v>888</v>
      </c>
      <c r="C28" s="92" t="s">
        <v>889</v>
      </c>
      <c r="D28" s="92" t="s">
        <v>879</v>
      </c>
      <c r="E28" s="92" t="s">
        <v>799</v>
      </c>
      <c r="F28" s="92" t="s">
        <v>57</v>
      </c>
    </row>
    <row r="29" spans="1:6" ht="28.5" customHeight="1">
      <c r="A29" s="93" t="s">
        <v>890</v>
      </c>
      <c r="B29" s="94" t="s">
        <v>888</v>
      </c>
      <c r="C29" s="94" t="s">
        <v>891</v>
      </c>
      <c r="D29" s="94" t="s">
        <v>892</v>
      </c>
      <c r="E29" s="94" t="s">
        <v>893</v>
      </c>
      <c r="F29" s="94" t="s">
        <v>63</v>
      </c>
    </row>
    <row r="30" spans="1:6" ht="40.5" customHeight="1">
      <c r="A30" s="91" t="s">
        <v>894</v>
      </c>
      <c r="B30" s="92" t="s">
        <v>895</v>
      </c>
      <c r="C30" s="92" t="s">
        <v>896</v>
      </c>
      <c r="D30" s="92" t="s">
        <v>864</v>
      </c>
      <c r="E30" s="92" t="s">
        <v>865</v>
      </c>
      <c r="F30" s="92" t="s">
        <v>104</v>
      </c>
    </row>
    <row r="31" spans="1:6" ht="15.75" customHeight="1">
      <c r="A31" s="93" t="s">
        <v>897</v>
      </c>
      <c r="B31" s="94" t="s">
        <v>898</v>
      </c>
      <c r="C31" s="94" t="s">
        <v>868</v>
      </c>
      <c r="D31" s="94" t="s">
        <v>899</v>
      </c>
      <c r="E31" s="94" t="s">
        <v>799</v>
      </c>
      <c r="F31" s="94" t="s">
        <v>104</v>
      </c>
    </row>
    <row r="32" spans="1:6" ht="28.5" customHeight="1">
      <c r="A32" s="91" t="s">
        <v>900</v>
      </c>
      <c r="B32" s="92" t="s">
        <v>898</v>
      </c>
      <c r="C32" s="92" t="s">
        <v>901</v>
      </c>
      <c r="D32" s="92" t="s">
        <v>811</v>
      </c>
      <c r="E32" s="92" t="s">
        <v>799</v>
      </c>
      <c r="F32" s="92" t="s">
        <v>841</v>
      </c>
    </row>
    <row r="33" spans="1:6" ht="28.5" customHeight="1">
      <c r="A33" s="93" t="s">
        <v>902</v>
      </c>
      <c r="B33" s="94" t="s">
        <v>898</v>
      </c>
      <c r="C33" s="94" t="s">
        <v>903</v>
      </c>
      <c r="D33" s="94" t="s">
        <v>904</v>
      </c>
      <c r="E33" s="94" t="s">
        <v>905</v>
      </c>
      <c r="F33" s="94" t="s">
        <v>57</v>
      </c>
    </row>
    <row r="34" spans="1:6" ht="28.5" customHeight="1">
      <c r="A34" s="91" t="s">
        <v>906</v>
      </c>
      <c r="B34" s="92" t="s">
        <v>898</v>
      </c>
      <c r="C34" s="92" t="s">
        <v>907</v>
      </c>
      <c r="D34" s="92" t="s">
        <v>908</v>
      </c>
      <c r="E34" s="92" t="s">
        <v>909</v>
      </c>
      <c r="F34" s="92" t="s">
        <v>910</v>
      </c>
    </row>
    <row r="35" spans="1:6" ht="28.5" customHeight="1">
      <c r="A35" s="93" t="s">
        <v>911</v>
      </c>
      <c r="B35" s="94" t="s">
        <v>898</v>
      </c>
      <c r="C35" s="94" t="s">
        <v>912</v>
      </c>
      <c r="D35" s="94" t="s">
        <v>913</v>
      </c>
      <c r="E35" s="94" t="s">
        <v>909</v>
      </c>
      <c r="F35" s="94" t="s">
        <v>813</v>
      </c>
    </row>
    <row r="36" spans="1:6" ht="28.5" customHeight="1">
      <c r="A36" s="91" t="s">
        <v>914</v>
      </c>
      <c r="B36" s="92" t="s">
        <v>915</v>
      </c>
      <c r="C36" s="92" t="s">
        <v>916</v>
      </c>
      <c r="D36" s="92" t="s">
        <v>811</v>
      </c>
      <c r="E36" s="92" t="s">
        <v>845</v>
      </c>
      <c r="F36" s="92" t="s">
        <v>104</v>
      </c>
    </row>
    <row r="37" spans="1:6" ht="28.5" customHeight="1">
      <c r="A37" s="93" t="s">
        <v>917</v>
      </c>
      <c r="B37" s="94" t="s">
        <v>918</v>
      </c>
      <c r="C37" s="94" t="s">
        <v>919</v>
      </c>
      <c r="D37" s="94" t="s">
        <v>920</v>
      </c>
      <c r="E37" s="94" t="s">
        <v>921</v>
      </c>
      <c r="F37" s="94" t="s">
        <v>104</v>
      </c>
    </row>
    <row r="38" spans="1:6" ht="15.75" customHeight="1">
      <c r="A38" s="91" t="s">
        <v>922</v>
      </c>
      <c r="B38" s="92" t="s">
        <v>923</v>
      </c>
      <c r="C38" s="92" t="s">
        <v>924</v>
      </c>
      <c r="D38" s="92" t="s">
        <v>920</v>
      </c>
      <c r="E38" s="92" t="s">
        <v>799</v>
      </c>
      <c r="F38" s="92" t="s">
        <v>104</v>
      </c>
    </row>
    <row r="39" spans="1:6" ht="15.75" customHeight="1">
      <c r="A39" s="93" t="s">
        <v>925</v>
      </c>
      <c r="B39" s="94" t="s">
        <v>926</v>
      </c>
      <c r="C39" s="94" t="s">
        <v>927</v>
      </c>
      <c r="D39" s="94" t="s">
        <v>928</v>
      </c>
      <c r="E39" s="94" t="s">
        <v>799</v>
      </c>
      <c r="F39" s="94" t="s">
        <v>104</v>
      </c>
    </row>
    <row r="40" spans="1:6" ht="15.75" customHeight="1">
      <c r="A40" s="91" t="s">
        <v>929</v>
      </c>
      <c r="B40" s="92" t="s">
        <v>930</v>
      </c>
      <c r="C40" s="92" t="s">
        <v>931</v>
      </c>
      <c r="D40" s="92" t="s">
        <v>932</v>
      </c>
      <c r="E40" s="92" t="s">
        <v>799</v>
      </c>
      <c r="F40" s="92" t="s">
        <v>57</v>
      </c>
    </row>
    <row r="41" spans="1:6" ht="28.5" customHeight="1">
      <c r="A41" s="93" t="s">
        <v>933</v>
      </c>
      <c r="B41" s="94" t="s">
        <v>934</v>
      </c>
      <c r="C41" s="94" t="s">
        <v>935</v>
      </c>
      <c r="D41" s="94" t="s">
        <v>928</v>
      </c>
      <c r="E41" s="94" t="s">
        <v>799</v>
      </c>
      <c r="F41" s="94" t="s">
        <v>57</v>
      </c>
    </row>
    <row r="42" spans="1:6" ht="28.5" customHeight="1">
      <c r="A42" s="91" t="s">
        <v>936</v>
      </c>
      <c r="B42" s="92" t="s">
        <v>937</v>
      </c>
      <c r="C42" s="92" t="s">
        <v>938</v>
      </c>
      <c r="D42" s="92" t="s">
        <v>864</v>
      </c>
      <c r="E42" s="92" t="s">
        <v>939</v>
      </c>
      <c r="F42" s="92" t="s">
        <v>104</v>
      </c>
    </row>
    <row r="43" spans="1:6" ht="40.5" customHeight="1">
      <c r="A43" s="93" t="s">
        <v>940</v>
      </c>
      <c r="B43" s="94" t="s">
        <v>941</v>
      </c>
      <c r="C43" s="94" t="s">
        <v>942</v>
      </c>
      <c r="D43" s="94" t="s">
        <v>793</v>
      </c>
      <c r="E43" s="94" t="s">
        <v>943</v>
      </c>
      <c r="F43" s="94" t="s">
        <v>104</v>
      </c>
    </row>
    <row r="44" spans="1:6" ht="28.5" customHeight="1">
      <c r="A44" s="91" t="s">
        <v>944</v>
      </c>
      <c r="B44" s="92" t="s">
        <v>945</v>
      </c>
      <c r="C44" s="92" t="s">
        <v>946</v>
      </c>
      <c r="D44" s="92" t="s">
        <v>947</v>
      </c>
      <c r="E44" s="92" t="s">
        <v>799</v>
      </c>
      <c r="F44" s="92" t="s">
        <v>104</v>
      </c>
    </row>
    <row r="45" spans="1:6" ht="40.5" customHeight="1">
      <c r="A45" s="93" t="s">
        <v>948</v>
      </c>
      <c r="B45" s="94" t="s">
        <v>949</v>
      </c>
      <c r="C45" s="94" t="s">
        <v>950</v>
      </c>
      <c r="D45" s="94" t="s">
        <v>908</v>
      </c>
      <c r="E45" s="94" t="s">
        <v>951</v>
      </c>
      <c r="F45" s="94" t="s">
        <v>910</v>
      </c>
    </row>
    <row r="46" spans="1:6" ht="40.5" customHeight="1">
      <c r="A46" s="91" t="s">
        <v>952</v>
      </c>
      <c r="B46" s="92" t="s">
        <v>949</v>
      </c>
      <c r="C46" s="92" t="s">
        <v>953</v>
      </c>
      <c r="D46" s="92" t="s">
        <v>913</v>
      </c>
      <c r="E46" s="92" t="s">
        <v>951</v>
      </c>
      <c r="F46" s="92" t="s">
        <v>813</v>
      </c>
    </row>
    <row r="47" spans="1:6" ht="28.5" customHeight="1">
      <c r="A47" s="93" t="s">
        <v>954</v>
      </c>
      <c r="B47" s="94" t="s">
        <v>955</v>
      </c>
      <c r="C47" s="94" t="s">
        <v>956</v>
      </c>
      <c r="D47" s="94" t="s">
        <v>957</v>
      </c>
      <c r="E47" s="94" t="s">
        <v>958</v>
      </c>
      <c r="F47" s="94" t="s">
        <v>104</v>
      </c>
    </row>
    <row r="48" spans="1:6" ht="40.5" customHeight="1">
      <c r="A48" s="91" t="s">
        <v>959</v>
      </c>
      <c r="B48" s="92" t="s">
        <v>960</v>
      </c>
      <c r="C48" s="92" t="s">
        <v>961</v>
      </c>
      <c r="D48" s="92" t="s">
        <v>962</v>
      </c>
      <c r="E48" s="92" t="s">
        <v>963</v>
      </c>
      <c r="F48" s="92" t="s">
        <v>104</v>
      </c>
    </row>
    <row r="49" spans="1:6" ht="28.5" customHeight="1">
      <c r="A49" s="93" t="s">
        <v>964</v>
      </c>
      <c r="B49" s="94" t="s">
        <v>965</v>
      </c>
      <c r="C49" s="94" t="s">
        <v>966</v>
      </c>
      <c r="D49" s="94" t="s">
        <v>967</v>
      </c>
      <c r="E49" s="94" t="s">
        <v>939</v>
      </c>
      <c r="F49" s="94" t="s">
        <v>104</v>
      </c>
    </row>
    <row r="50" spans="1:6" ht="28.5" customHeight="1">
      <c r="A50" s="91" t="s">
        <v>968</v>
      </c>
      <c r="B50" s="92" t="s">
        <v>969</v>
      </c>
      <c r="C50" s="92" t="s">
        <v>970</v>
      </c>
      <c r="D50" s="92" t="s">
        <v>971</v>
      </c>
      <c r="E50" s="92" t="s">
        <v>972</v>
      </c>
      <c r="F50" s="92" t="s">
        <v>973</v>
      </c>
    </row>
    <row r="51" spans="1:6" ht="28.5" customHeight="1">
      <c r="A51" s="93" t="s">
        <v>974</v>
      </c>
      <c r="B51" s="94" t="s">
        <v>975</v>
      </c>
      <c r="C51" s="94" t="s">
        <v>976</v>
      </c>
      <c r="D51" s="94" t="s">
        <v>977</v>
      </c>
      <c r="E51" s="94" t="s">
        <v>978</v>
      </c>
      <c r="F51" s="94" t="s">
        <v>104</v>
      </c>
    </row>
    <row r="52" spans="1:6" ht="28.5" customHeight="1">
      <c r="A52" s="91" t="s">
        <v>979</v>
      </c>
      <c r="B52" s="92" t="s">
        <v>980</v>
      </c>
      <c r="C52" s="92" t="s">
        <v>981</v>
      </c>
      <c r="D52" s="92" t="s">
        <v>977</v>
      </c>
      <c r="E52" s="92" t="s">
        <v>978</v>
      </c>
      <c r="F52" s="92" t="s">
        <v>104</v>
      </c>
    </row>
    <row r="53" spans="1:6" ht="40.5" customHeight="1">
      <c r="A53" s="93" t="s">
        <v>982</v>
      </c>
      <c r="B53" s="94" t="s">
        <v>983</v>
      </c>
      <c r="C53" s="94" t="s">
        <v>984</v>
      </c>
      <c r="D53" s="94" t="s">
        <v>985</v>
      </c>
      <c r="E53" s="94" t="s">
        <v>794</v>
      </c>
      <c r="F53" s="94" t="s">
        <v>104</v>
      </c>
    </row>
  </sheetData>
  <printOptions horizontalCentered="1"/>
  <pageMargins left="0.75" right="0.75" top="1" bottom="1" header="0.51180555555555596" footer="0.51180555555555596"/>
  <pageSetup paperSize="9" fitToHeight="0" orientation="landscape" horizontalDpi="300" verticalDpi="300"/>
  <headerFooter>
    <oddHeader>&amp;L&amp;8 &amp;K213d7aAI Program Change Management Project Plan&amp;R&amp;8 &amp;K213d7a&amp;A</oddHeader>
    <oddFooter>&amp;L&amp;8 City of Cleveland | AI Center of Excellence&amp;R&amp;8 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FolderType xmlns="7084ace1-de0e-4763-856f-cfcc45012b15" xsi:nil="true"/>
    <TaxCatchAll xmlns="31a7a37b-eabf-4933-bd6b-8d85d359c110" xsi:nil="true"/>
    <FolderDescription xmlns="7084ace1-de0e-4763-856f-cfcc45012b15" xsi:nil="true"/>
    <lcf76f155ced4ddcb4097134ff3c332f xmlns="7084ace1-de0e-4763-856f-cfcc45012b1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3CE9557698F894F970D06FE681CD67D" ma:contentTypeVersion="15" ma:contentTypeDescription="Create a new document." ma:contentTypeScope="" ma:versionID="58d44ca4f9f69e38965e0fc16465285c">
  <xsd:schema xmlns:xsd="http://www.w3.org/2001/XMLSchema" xmlns:xs="http://www.w3.org/2001/XMLSchema" xmlns:p="http://schemas.microsoft.com/office/2006/metadata/properties" xmlns:ns2="7084ace1-de0e-4763-856f-cfcc45012b15" xmlns:ns3="31a7a37b-eabf-4933-bd6b-8d85d359c110" targetNamespace="http://schemas.microsoft.com/office/2006/metadata/properties" ma:root="true" ma:fieldsID="f20cb553f4237d41fde80998e0e46bbc" ns2:_="" ns3:_="">
    <xsd:import namespace="7084ace1-de0e-4763-856f-cfcc45012b15"/>
    <xsd:import namespace="31a7a37b-eabf-4933-bd6b-8d85d359c11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FolderDescription" minOccurs="0"/>
                <xsd:element ref="ns2:Folder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84ace1-de0e-4763-856f-cfcc45012b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6d7611e0-160e-41b6-ae0d-4a926c19679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FolderDescription" ma:index="19" nillable="true" ma:displayName="Folder Description" ma:description="Description of the folder" ma:format="Dropdown" ma:internalName="FolderDescription">
      <xsd:simpleType>
        <xsd:restriction base="dms:Text">
          <xsd:maxLength value="255"/>
        </xsd:restriction>
      </xsd:simpleType>
    </xsd:element>
    <xsd:element name="FolderType" ma:index="20" nillable="true" ma:displayName="Folder Type" ma:format="Dropdown" ma:internalName="FolderType">
      <xsd:simpleType>
        <xsd:restriction base="dms:Choice">
          <xsd:enumeration value="Strategy"/>
          <xsd:enumeration value="Technical Foundation"/>
          <xsd:enumeration value="Program Management"/>
          <xsd:enumeration value="Communications"/>
          <xsd:enumeration value="Administration"/>
        </xsd:restriction>
      </xsd:simpleType>
    </xsd:element>
  </xsd:schema>
  <xsd:schema xmlns:xsd="http://www.w3.org/2001/XMLSchema" xmlns:xs="http://www.w3.org/2001/XMLSchema" xmlns:dms="http://schemas.microsoft.com/office/2006/documentManagement/types" xmlns:pc="http://schemas.microsoft.com/office/infopath/2007/PartnerControls" targetNamespace="31a7a37b-eabf-4933-bd6b-8d85d359c11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667e4b5-090c-44d1-84fb-75a328afbc58}" ma:internalName="TaxCatchAll" ma:showField="CatchAllData" ma:web="31a7a37b-eabf-4933-bd6b-8d85d359c1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C3A1A6-B423-4E60-85DA-45398E586F4F}"/>
</file>

<file path=customXml/itemProps2.xml><?xml version="1.0" encoding="utf-8"?>
<ds:datastoreItem xmlns:ds="http://schemas.openxmlformats.org/officeDocument/2006/customXml" ds:itemID="{5A035246-9C8D-423A-9F9E-14B384ACACEE}"/>
</file>

<file path=customXml/itemProps3.xml><?xml version="1.0" encoding="utf-8"?>
<ds:datastoreItem xmlns:ds="http://schemas.openxmlformats.org/officeDocument/2006/customXml" ds:itemID="{A40B312D-0B0F-4614-87F4-1E1EA0C15D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AI Program Change Management Project Plan</dc:title>
  <dc:subject>Copilot Basic and HR Policy Chatbot</dc:subject>
  <dc:creator>Tawanna Armstrong-Ivory</dc:creator>
  <cp:keywords/>
  <dc:description>Program plan for the Copilot Basic rollout and the HR Policy Chatbot testing and pilot.</dc:description>
  <cp:lastModifiedBy/>
  <cp:revision>0</cp:revision>
  <dcterms:created xsi:type="dcterms:W3CDTF">2026-08-27T18:02:00Z</dcterms:created>
  <dcterms:modified xsi:type="dcterms:W3CDTF">2026-09-17T20:27:41Z</dcterms:modified>
  <cp:category>AI Center of Excellence | City of Cleveland</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0x01010023CE9557698F894F970D06FE681CD67D</vt:lpwstr>
  </property>
  <property fmtid="{D5CDD505-2E9C-101B-9397-08002B2CF9AE}" pid="3" name="MediaServiceImageTags">
    <vt:lpwstr/>
  </property>
</Properties>
</file>